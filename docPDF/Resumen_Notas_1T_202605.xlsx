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67EBDC99-2EB8-4D49-A5F0-F7A7AA8382C3}" xr6:coauthVersionLast="47" xr6:coauthVersionMax="47" xr10:uidLastSave="{00000000-0000-0000-0000-000000000000}"/>
  <bookViews>
    <workbookView xWindow="240" yWindow="105" windowWidth="14805" windowHeight="8010" firstSheet="4" activeTab="5" xr2:uid="{00000000-000D-0000-FFFF-FFFF00000000}"/>
  </bookViews>
  <sheets>
    <sheet name="Criterio" sheetId="1" r:id="rId1"/>
    <sheet name="Escala de Desempeño" sheetId="4" r:id="rId2"/>
    <sheet name="Taller Solemne I Clase 6" sheetId="16" r:id="rId3"/>
    <sheet name="taller Solemne Clase 12" sheetId="12" r:id="rId4"/>
    <sheet name="Resumen de Notas" sheetId="13" r:id="rId5"/>
    <sheet name="Seguimiento" sheetId="14" r:id="rId6"/>
    <sheet name="Asistencia" sheetId="1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14" l="1"/>
  <c r="L64" i="14"/>
  <c r="L65" i="14"/>
  <c r="L66" i="14"/>
  <c r="L67" i="14"/>
  <c r="K63" i="14"/>
  <c r="N63" i="14" s="1"/>
  <c r="K64" i="14"/>
  <c r="N64" i="14" s="1"/>
  <c r="K65" i="14"/>
  <c r="N65" i="14" s="1"/>
  <c r="K66" i="14"/>
  <c r="N66" i="14" s="1"/>
  <c r="K67" i="14"/>
  <c r="N67" i="14" s="1"/>
  <c r="N9" i="14"/>
  <c r="N7" i="14"/>
  <c r="N8" i="14"/>
  <c r="N10" i="14"/>
  <c r="N11" i="14"/>
  <c r="N6" i="14"/>
  <c r="C13" i="14"/>
  <c r="B3" i="14"/>
  <c r="B4" i="16"/>
  <c r="B6" i="16"/>
  <c r="K62" i="14"/>
  <c r="L62" i="14"/>
  <c r="C4" i="14"/>
  <c r="B4" i="14"/>
  <c r="I8" i="12"/>
  <c r="F8" i="12"/>
  <c r="D13" i="14" l="1"/>
  <c r="C3" i="14"/>
  <c r="I7" i="16"/>
  <c r="J7" i="16"/>
  <c r="H7" i="16"/>
  <c r="N62" i="14"/>
  <c r="E13" i="14" l="1"/>
  <c r="D3" i="14"/>
  <c r="D4" i="14"/>
  <c r="F13" i="14" l="1"/>
  <c r="E3" i="14"/>
  <c r="G13" i="14" l="1"/>
  <c r="F3" i="14"/>
  <c r="F4" i="14"/>
  <c r="H13" i="14" l="1"/>
  <c r="G3" i="14"/>
  <c r="G4" i="14"/>
  <c r="I13" i="14" l="1"/>
  <c r="H3" i="14"/>
  <c r="H4" i="14"/>
  <c r="J13" i="14" l="1"/>
  <c r="I3" i="14"/>
  <c r="I4" i="14"/>
  <c r="K13" i="14" l="1"/>
  <c r="J3" i="14"/>
  <c r="J4" i="14"/>
  <c r="L13" i="14" l="1"/>
  <c r="K3" i="14"/>
  <c r="K4" i="14"/>
  <c r="L3" i="14" l="1"/>
  <c r="M13" i="14"/>
  <c r="L4" i="14"/>
  <c r="M3" i="14" l="1"/>
  <c r="M4" i="14"/>
</calcChain>
</file>

<file path=xl/sharedStrings.xml><?xml version="1.0" encoding="utf-8"?>
<sst xmlns="http://schemas.openxmlformats.org/spreadsheetml/2006/main" count="408" uniqueCount="154">
  <si>
    <r>
      <t>Nro.</t>
    </r>
    <r>
      <rPr>
        <sz val="12"/>
        <color rgb="FF1B1C1D"/>
        <rFont val="Aptos"/>
        <charset val="1"/>
      </rPr>
      <t> </t>
    </r>
  </si>
  <si>
    <r>
      <t>Criterio de Observación</t>
    </r>
    <r>
      <rPr>
        <sz val="12"/>
        <color rgb="FF1B1C1D"/>
        <rFont val="Aptos"/>
        <charset val="1"/>
      </rPr>
      <t> </t>
    </r>
  </si>
  <si>
    <r>
      <t>Focos de Observación Clave (Evidencia de Logro)</t>
    </r>
    <r>
      <rPr>
        <sz val="12"/>
        <color rgb="FF1B1C1D"/>
        <rFont val="Aptos"/>
        <charset val="1"/>
      </rPr>
      <t> </t>
    </r>
  </si>
  <si>
    <r>
      <t>Puntos Máximos</t>
    </r>
    <r>
      <rPr>
        <sz val="12"/>
        <color rgb="FF1B1C1D"/>
        <rFont val="Aptos"/>
        <charset val="1"/>
      </rPr>
      <t> </t>
    </r>
  </si>
  <si>
    <r>
      <t>Implementación del Modelo Básico y Componentes</t>
    </r>
    <r>
      <rPr>
        <sz val="12"/>
        <color rgb="FF1B1C1D"/>
        <rFont val="Aptos"/>
        <charset val="1"/>
      </rPr>
      <t> </t>
    </r>
  </si>
  <si>
    <r>
      <t>Configuración correcta</t>
    </r>
    <r>
      <rPr>
        <sz val="12"/>
        <color rgb="FF1B1C1D"/>
        <rFont val="Aptos"/>
        <charset val="1"/>
      </rPr>
      <t> de entidades, "Source", "Server" y "Sink". </t>
    </r>
    <r>
      <rPr>
        <b/>
        <sz val="12"/>
        <color rgb="FF1B1C1D"/>
        <rFont val="Aptos"/>
        <charset val="1"/>
      </rPr>
      <t>Uso pertinente</t>
    </r>
    <r>
      <rPr>
        <sz val="12"/>
        <color rgb="FF1B1C1D"/>
        <rFont val="Aptos"/>
        <charset val="1"/>
      </rPr>
      <t> de distribuciones probabilísticas (e.g., "Exponencial", "Triangular"). </t>
    </r>
    <r>
      <rPr>
        <b/>
        <sz val="12"/>
        <color rgb="FF1B1C1D"/>
        <rFont val="Aptos"/>
        <charset val="1"/>
      </rPr>
      <t>Conexiones lógicas y flujo</t>
    </r>
    <r>
      <rPr>
        <sz val="12"/>
        <color rgb="FF1B1C1D"/>
        <rFont val="Aptos"/>
        <charset val="1"/>
      </rPr>
      <t> de entidades operativo. </t>
    </r>
  </si>
  <si>
    <t>20 </t>
  </si>
  <si>
    <r>
      <t>Integración de Lógica Avanzada y Controles</t>
    </r>
    <r>
      <rPr>
        <sz val="12"/>
        <color rgb="FF1B1C1D"/>
        <rFont val="Aptos"/>
        <charset val="1"/>
      </rPr>
      <t> </t>
    </r>
  </si>
  <si>
    <r>
      <t>Uso eficiente de Recursos Fijos/Móviles</t>
    </r>
    <r>
      <rPr>
        <sz val="12"/>
        <color rgb="FF1B1C1D"/>
        <rFont val="Aptos"/>
        <charset val="1"/>
      </rPr>
      <t> y lógica de adquisición/liberación ("Seize"/ "Release"). Implementación funcional de </t>
    </r>
    <r>
      <rPr>
        <b/>
        <sz val="12"/>
        <color rgb="FF1B1C1D"/>
        <rFont val="Aptos"/>
        <charset val="1"/>
      </rPr>
      <t>lógica de decisión</t>
    </r>
    <r>
      <rPr>
        <sz val="12"/>
        <color rgb="FF1B1C1D"/>
        <rFont val="Aptos"/>
        <charset val="1"/>
      </rPr>
      <t> ("Decide"), "Sequence Tables" o gestión de la fiabilidad ("Reliability Logic"). </t>
    </r>
    <r>
      <rPr>
        <b/>
        <sz val="12"/>
        <color rgb="FF1B1C1D"/>
        <rFont val="Aptos"/>
        <charset val="1"/>
      </rPr>
      <t>Aplicación correcta de tablas de datos</t>
    </r>
    <r>
      <rPr>
        <sz val="12"/>
        <color rgb="FF1B1C1D"/>
        <rFont val="Aptos"/>
        <charset val="1"/>
      </rPr>
      <t> ("Data Tables") o de ritmos. </t>
    </r>
  </si>
  <si>
    <t>35 </t>
  </si>
  <si>
    <r>
      <t>Validación, Verificación y Animación</t>
    </r>
    <r>
      <rPr>
        <sz val="12"/>
        <color rgb="FF1B1C1D"/>
        <rFont val="Aptos"/>
        <charset val="1"/>
      </rPr>
      <t> </t>
    </r>
  </si>
  <si>
    <r>
      <t>Modelo </t>
    </r>
    <r>
      <rPr>
        <b/>
        <sz val="12"/>
        <color rgb="FF1B1C1D"/>
        <rFont val="Aptos"/>
        <charset val="1"/>
      </rPr>
      <t>ejecutable</t>
    </r>
    <r>
      <rPr>
        <sz val="12"/>
        <color rgb="FF1B1C1D"/>
        <rFont val="Aptos"/>
        <charset val="1"/>
      </rPr>
      <t>, configurado con </t>
    </r>
    <r>
      <rPr>
        <b/>
        <sz val="12"/>
        <color rgb="FF1B1C1D"/>
        <rFont val="Aptos"/>
        <charset val="1"/>
      </rPr>
      <t>duración</t>
    </r>
    <r>
      <rPr>
        <sz val="12"/>
        <color rgb="FF1B1C1D"/>
        <rFont val="Aptos"/>
        <charset val="1"/>
      </rPr>
      <t> y </t>
    </r>
    <r>
      <rPr>
        <b/>
        <sz val="12"/>
        <color rgb="FF1B1C1D"/>
        <rFont val="Aptos"/>
        <charset val="1"/>
      </rPr>
      <t>número de repeticiones</t>
    </r>
    <r>
      <rPr>
        <sz val="12"/>
        <color rgb="FF1B1C1D"/>
        <rFont val="Aptos"/>
        <charset val="1"/>
      </rPr>
      <t> ("Runs") adecuados. Uso de herramientas de verificación ("Trace", "Step") para </t>
    </r>
    <r>
      <rPr>
        <b/>
        <sz val="12"/>
        <color rgb="FF1B1C1D"/>
        <rFont val="Aptos"/>
        <charset val="1"/>
      </rPr>
      <t>depurar el modelo</t>
    </r>
    <r>
      <rPr>
        <sz val="12"/>
        <color rgb="FF1B1C1D"/>
        <rFont val="Aptos"/>
        <charset val="1"/>
      </rPr>
      <t>. </t>
    </r>
    <r>
      <rPr>
        <b/>
        <sz val="12"/>
        <color rgb="FF1B1C1D"/>
        <rFont val="Aptos"/>
        <charset val="1"/>
      </rPr>
      <t>Animación visual creíble</t>
    </r>
    <r>
      <rPr>
        <sz val="12"/>
        <color rgb="FF1B1C1D"/>
        <rFont val="Aptos"/>
        <charset val="1"/>
      </rPr>
      <t> ("3D", símbolos, filas de espera) que confirma el flujo lógico. </t>
    </r>
  </si>
  <si>
    <r>
      <t>Análisis de Resultados y Conclusiones</t>
    </r>
    <r>
      <rPr>
        <sz val="12"/>
        <color rgb="FF1B1C1D"/>
        <rFont val="Aptos"/>
        <charset val="1"/>
      </rPr>
      <t> </t>
    </r>
  </si>
  <si>
    <r>
      <t>Extracción e interpretación</t>
    </r>
    <r>
      <rPr>
        <sz val="12"/>
        <color rgb="FF1B1C1D"/>
        <rFont val="Aptos"/>
        <charset val="1"/>
      </rPr>
      <t> de estadísticas clave de SIMIO ("Time in System", "Utilization", "Throughput"). </t>
    </r>
    <r>
      <rPr>
        <b/>
        <sz val="12"/>
        <color rgb="FF1B1C1D"/>
        <rFont val="Aptos"/>
        <charset val="1"/>
      </rPr>
      <t>Conclusiones fundamentales</t>
    </r>
    <r>
      <rPr>
        <sz val="12"/>
        <color rgb="FF1B1C1D"/>
        <rFont val="Aptos"/>
        <charset val="1"/>
      </rPr>
      <t> y </t>
    </r>
    <r>
      <rPr>
        <b/>
        <sz val="12"/>
        <color rgb="FF1B1C1D"/>
        <rFont val="Aptos"/>
        <charset val="1"/>
      </rPr>
      <t>recomendaciones</t>
    </r>
    <r>
      <rPr>
        <sz val="12"/>
        <color rgb="FF1B1C1D"/>
        <rFont val="Aptos"/>
        <charset val="1"/>
      </rPr>
      <t> que responden directamente a los objetivos del taller, </t>
    </r>
    <r>
      <rPr>
        <b/>
        <sz val="12"/>
        <color rgb="FF1B1C1D"/>
        <rFont val="Aptos"/>
        <charset val="1"/>
      </rPr>
      <t>respaldadas por los datos</t>
    </r>
    <r>
      <rPr>
        <sz val="12"/>
        <color rgb="FF1B1C1D"/>
        <rFont val="Aptos"/>
        <charset val="1"/>
      </rPr>
      <t> del experimento de simulación. </t>
    </r>
  </si>
  <si>
    <t>25 </t>
  </si>
  <si>
    <r>
      <t>Nivel de Desempeño</t>
    </r>
    <r>
      <rPr>
        <sz val="12"/>
        <color rgb="FF1B1C1D"/>
        <rFont val="Aptos"/>
        <charset val="1"/>
      </rPr>
      <t> </t>
    </r>
  </si>
  <si>
    <r>
      <t>Rango de Puntaje (100 pts máx.)</t>
    </r>
    <r>
      <rPr>
        <sz val="12"/>
        <color rgb="FF1B1C1D"/>
        <rFont val="Aptos"/>
        <charset val="1"/>
      </rPr>
      <t> </t>
    </r>
  </si>
  <si>
    <r>
      <t>Descripción General del Logro</t>
    </r>
    <r>
      <rPr>
        <sz val="12"/>
        <color rgb="FF1B1C1D"/>
        <rFont val="Aptos"/>
        <charset val="1"/>
      </rPr>
      <t> </t>
    </r>
  </si>
  <si>
    <r>
      <t>Sobresaliente</t>
    </r>
    <r>
      <rPr>
        <sz val="12"/>
        <color rgb="FF1B1C1D"/>
        <rFont val="Aptos"/>
        <charset val="1"/>
      </rPr>
      <t> (7.0 - 6.5) </t>
    </r>
  </si>
  <si>
    <r>
      <t>90 - 100 puntos</t>
    </r>
    <r>
      <rPr>
        <sz val="12"/>
        <color rgb="FF1B1C1D"/>
        <rFont val="Aptos"/>
        <charset val="1"/>
      </rPr>
      <t> </t>
    </r>
  </si>
  <si>
    <r>
      <t>Dominio y Excelencia.</t>
    </r>
    <r>
      <rPr>
        <sz val="12"/>
        <color rgb="FF1B1C1D"/>
        <rFont val="Aptos"/>
        <charset val="1"/>
      </rPr>
      <t> La solución es </t>
    </r>
    <r>
      <rPr>
        <b/>
        <sz val="12"/>
        <color rgb="FF1B1C1D"/>
        <rFont val="Aptos"/>
        <charset val="1"/>
      </rPr>
      <t>óptima, eficiente y robusta</t>
    </r>
    <r>
      <rPr>
        <sz val="12"/>
        <color rgb="FF1B1C1D"/>
        <rFont val="Aptos"/>
        <charset val="1"/>
      </rPr>
      <t>. Demuestra un </t>
    </r>
    <r>
      <rPr>
        <b/>
        <sz val="12"/>
        <color rgb="FF1B1C1D"/>
        <rFont val="Aptos"/>
        <charset val="1"/>
      </rPr>
      <t>entendimiento profundo</t>
    </r>
    <r>
      <rPr>
        <sz val="12"/>
        <color rgb="FF1B1C1D"/>
        <rFont val="Aptos"/>
        <charset val="1"/>
      </rPr>
      <t> de los conceptos de simulación y las mejores prácticas de modelización en SIMIO. El análisis de resultados excede las expectativas. </t>
    </r>
  </si>
  <si>
    <r>
      <t>Notable</t>
    </r>
    <r>
      <rPr>
        <sz val="12"/>
        <color rgb="FF1B1C1D"/>
        <rFont val="Aptos"/>
        <charset val="1"/>
      </rPr>
      <t> (6.4 - 5.5) </t>
    </r>
  </si>
  <si>
    <r>
      <t>80 - 89 puntos</t>
    </r>
    <r>
      <rPr>
        <sz val="12"/>
        <color rgb="FF1B1C1D"/>
        <rFont val="Aptos"/>
        <charset val="1"/>
      </rPr>
      <t> </t>
    </r>
  </si>
  <si>
    <r>
      <t>Logro Sólido.</t>
    </r>
    <r>
      <rPr>
        <sz val="12"/>
        <color rgb="FF1B1C1D"/>
        <rFont val="Aptos"/>
        <charset val="1"/>
      </rPr>
      <t> El modelo es </t>
    </r>
    <r>
      <rPr>
        <b/>
        <sz val="12"/>
        <color rgb="FF1B1C1D"/>
        <rFont val="Aptos"/>
        <charset val="1"/>
      </rPr>
      <t>funcional, correcto y bien estructurado</t>
    </r>
    <r>
      <rPr>
        <sz val="12"/>
        <color rgb="FF1B1C1D"/>
        <rFont val="Aptos"/>
        <charset val="1"/>
      </rPr>
      <t>. Cumple con todos los requisitos del ejercicio, la lógica avanzada es efectiva y el análisis de resultados es completo y bien fundamentado. </t>
    </r>
  </si>
  <si>
    <r>
      <t>Suficiente</t>
    </r>
    <r>
      <rPr>
        <sz val="12"/>
        <color rgb="FF1B1C1D"/>
        <rFont val="Aptos"/>
        <charset val="1"/>
      </rPr>
      <t> (4.4 - 4.0) </t>
    </r>
  </si>
  <si>
    <r>
      <t>60 - 69 puntos</t>
    </r>
    <r>
      <rPr>
        <sz val="12"/>
        <color rgb="FF1B1C1D"/>
        <rFont val="Aptos"/>
        <charset val="1"/>
      </rPr>
      <t> </t>
    </r>
  </si>
  <si>
    <r>
      <t>Nivel Mínimo de Aprobación.</t>
    </r>
    <r>
      <rPr>
        <sz val="12"/>
        <color rgb="FF1B1C1D"/>
        <rFont val="Aptos"/>
        <charset val="1"/>
      </rPr>
      <t> El modelo es </t>
    </r>
    <r>
      <rPr>
        <b/>
        <sz val="12"/>
        <color rgb="FF1B1C1D"/>
        <rFont val="Aptos"/>
        <charset val="1"/>
      </rPr>
      <t>funcional y ejecutable</t>
    </r>
    <r>
      <rPr>
        <sz val="12"/>
        <color rgb="FF1B1C1D"/>
        <rFont val="Aptos"/>
        <charset val="1"/>
      </rPr>
      <t>, cumpliendo con los requisitos esenciales (los 60 puntos mínimos). Demuestra un conocimiento aplicable de los objetos básicos. Puede haber omisiones o la lógica podría ser más eficiente. </t>
    </r>
  </si>
  <si>
    <r>
      <t>Mejorable</t>
    </r>
    <r>
      <rPr>
        <sz val="12"/>
        <color rgb="FF1B1C1D"/>
        <rFont val="Aptos"/>
        <charset val="1"/>
      </rPr>
      <t> (3.9 - 3.0) </t>
    </r>
  </si>
  <si>
    <r>
      <t>40 - 59 puntos</t>
    </r>
    <r>
      <rPr>
        <sz val="12"/>
        <color rgb="FF1B1C1D"/>
        <rFont val="Aptos"/>
        <charset val="1"/>
      </rPr>
      <t> </t>
    </r>
  </si>
  <si>
    <r>
      <t>Deficiencias Significativas.</t>
    </r>
    <r>
      <rPr>
        <sz val="12"/>
        <color rgb="FF1B1C1D"/>
        <rFont val="Aptos"/>
        <charset val="1"/>
      </rPr>
      <t> El modelo contiene </t>
    </r>
    <r>
      <rPr>
        <b/>
        <sz val="12"/>
        <color rgb="FF1B1C1D"/>
        <rFont val="Aptos"/>
        <charset val="1"/>
      </rPr>
      <t>deficiencias lógicas o estructurales</t>
    </r>
    <r>
      <rPr>
        <sz val="12"/>
        <color rgb="FF1B1C1D"/>
        <rFont val="Aptos"/>
        <charset val="1"/>
      </rPr>
      <t> que limitan su precisión (no alcanza los 60 puntos). La verificación fue superficial o el análisis de resultados es incompleto. </t>
    </r>
    <r>
      <rPr>
        <b/>
        <sz val="12"/>
        <color rgb="FF1B1C1D"/>
        <rFont val="Aptos"/>
        <charset val="1"/>
      </rPr>
      <t>Requiere corrección.</t>
    </r>
    <r>
      <rPr>
        <sz val="12"/>
        <color rgb="FF1B1C1D"/>
        <rFont val="Aptos"/>
        <charset val="1"/>
      </rPr>
      <t> </t>
    </r>
  </si>
  <si>
    <r>
      <t>No Aprobado</t>
    </r>
    <r>
      <rPr>
        <sz val="12"/>
        <color rgb="FF1B1C1D"/>
        <rFont val="Aptos"/>
        <charset val="1"/>
      </rPr>
      <t> (2.9 - 1.0) </t>
    </r>
  </si>
  <si>
    <r>
      <t>0 - 39 puntos</t>
    </r>
    <r>
      <rPr>
        <sz val="12"/>
        <color rgb="FF1B1C1D"/>
        <rFont val="Aptos"/>
        <charset val="1"/>
      </rPr>
      <t> </t>
    </r>
  </si>
  <si>
    <r>
      <t>Fallo Crítico.</t>
    </r>
    <r>
      <rPr>
        <sz val="12"/>
        <color rgb="FF1B1C1D"/>
        <rFont val="Aptos"/>
        <charset val="1"/>
      </rPr>
      <t> La estructura del modelo es conceptual o físicamente errónea. La solución </t>
    </r>
    <r>
      <rPr>
        <b/>
        <sz val="12"/>
        <color rgb="FF1B1C1D"/>
        <rFont val="Aptos"/>
        <charset val="1"/>
      </rPr>
      <t>no es funcional</t>
    </r>
    <r>
      <rPr>
        <sz val="12"/>
        <color rgb="FF1B1C1D"/>
        <rFont val="Aptos"/>
        <charset val="1"/>
      </rPr>
      <t> o ignora requisitos estructurales fundamentales del problema. </t>
    </r>
    <r>
      <rPr>
        <b/>
        <sz val="12"/>
        <color rgb="FF1B1C1D"/>
        <rFont val="Aptos"/>
        <charset val="1"/>
      </rPr>
      <t>Falla en demostrar</t>
    </r>
    <r>
      <rPr>
        <sz val="12"/>
        <color rgb="FF1B1C1D"/>
        <rFont val="Aptos"/>
        <charset val="1"/>
      </rPr>
      <t> la capacidad de modelar con SIMIO. </t>
    </r>
  </si>
  <si>
    <r>
      <t>Criterio</t>
    </r>
    <r>
      <rPr>
        <sz val="12"/>
        <color rgb="FF1F1F1F"/>
        <rFont val="Cambria"/>
        <charset val="1"/>
      </rPr>
      <t> </t>
    </r>
  </si>
  <si>
    <t>Ponderación</t>
  </si>
  <si>
    <r>
      <t>Excelente (91-100)</t>
    </r>
    <r>
      <rPr>
        <sz val="12"/>
        <color rgb="FF1F1F1F"/>
        <rFont val="Cambria"/>
        <charset val="1"/>
      </rPr>
      <t> </t>
    </r>
  </si>
  <si>
    <r>
      <t>Muy Bueno (81-90)</t>
    </r>
    <r>
      <rPr>
        <sz val="12"/>
        <color rgb="FF1F1F1F"/>
        <rFont val="Cambria"/>
        <charset val="1"/>
      </rPr>
      <t> </t>
    </r>
  </si>
  <si>
    <r>
      <t>Bueno (70-80)</t>
    </r>
    <r>
      <rPr>
        <sz val="12"/>
        <color rgb="FF1F1F1F"/>
        <rFont val="Cambria"/>
        <charset val="1"/>
      </rPr>
      <t> </t>
    </r>
  </si>
  <si>
    <r>
      <t>Suficiente (60-69)</t>
    </r>
    <r>
      <rPr>
        <sz val="12"/>
        <color rgb="FF1F1F1F"/>
        <rFont val="Cambria"/>
        <charset val="1"/>
      </rPr>
      <t> </t>
    </r>
  </si>
  <si>
    <r>
      <t>Insuficiente (0-59)</t>
    </r>
    <r>
      <rPr>
        <sz val="12"/>
        <color rgb="FF1F1F1F"/>
        <rFont val="Cambria"/>
        <charset val="1"/>
      </rPr>
      <t> </t>
    </r>
  </si>
  <si>
    <t>C-C</t>
  </si>
  <si>
    <t>L-R</t>
  </si>
  <si>
    <t>A-R</t>
  </si>
  <si>
    <r>
      <t>Aplicación de Métodos (Técnico)</t>
    </r>
    <r>
      <rPr>
        <sz val="12"/>
        <color rgb="FF1F1F1F"/>
        <rFont val="Cambria"/>
        <charset val="1"/>
      </rPr>
      <t> </t>
    </r>
  </si>
  <si>
    <t>Aplica correctamente los 4 métodos de generación sin errores de cálculo. </t>
  </si>
  <si>
    <t>Aplica los métodos con errores menores en uno de ellos. </t>
  </si>
  <si>
    <t>Aplica los métodos pero confunde la lógica de uno (ej. Box-Muller). </t>
  </si>
  <si>
    <t>Muestra comprensión básica pero falla en la ejecución matemática. </t>
  </si>
  <si>
    <t>No aplica los métodos solicitados o los resultados son incoherentes. </t>
  </si>
  <si>
    <r>
      <t>Análisis de Indicadores</t>
    </r>
    <r>
      <rPr>
        <sz val="12"/>
        <color rgb="FF1F1F1F"/>
        <rFont val="Cambria"/>
        <charset val="1"/>
      </rPr>
      <t> </t>
    </r>
  </si>
  <si>
    <t>Calcula e interpreta correctamente todos los KPIs de DES. </t>
  </si>
  <si>
    <t>Calcula los KPIs pero la interpretación es limitada. </t>
  </si>
  <si>
    <t>Calcula los KPIs con errores en las fórmulas de promedio/utilización. </t>
  </si>
  <si>
    <t>Solo identifica los indicadores sin lograr un cálculo válido. </t>
  </si>
  <si>
    <t>No presenta cálculos de desempeño del sistema. </t>
  </si>
  <si>
    <r>
      <t>Calidad de la Presentación</t>
    </r>
    <r>
      <rPr>
        <sz val="12"/>
        <color rgb="FF1F1F1F"/>
        <rFont val="Cambria"/>
        <charset val="1"/>
      </rPr>
      <t> </t>
    </r>
  </si>
  <si>
    <t>Presentación visualmente profesional, lógica y con conclusiones de alto impacto. </t>
  </si>
  <si>
    <t>Presentación clara, pero falta profundidad en las conclusiones. </t>
  </si>
  <si>
    <t>Presentación funcional con algunos errores de formato o redacción. </t>
  </si>
  <si>
    <t>Presentación desordenada, difícil de seguir. </t>
  </si>
  <si>
    <t>Presentación incompleta o inexistente. </t>
  </si>
  <si>
    <r>
      <t>Calidad del Presentador</t>
    </r>
    <r>
      <rPr>
        <sz val="12"/>
        <color rgb="FF1F1F1F"/>
        <rFont val="Cambria"/>
        <charset val="1"/>
      </rPr>
      <t> </t>
    </r>
  </si>
  <si>
    <t>Demuestra dominio total, lenguaje formal técnico y responde con solvencia. </t>
  </si>
  <si>
    <t>Buen dominio, lenguaje formal, pero duda en preguntas complejas. </t>
  </si>
  <si>
    <t>Lenguaje adecuado, pero lee las láminas constantemente. </t>
  </si>
  <si>
    <t>Escaso dominio del tema, lenguaje informal. </t>
  </si>
  <si>
    <t>No logra comunicar las ideas o no se presenta. </t>
  </si>
  <si>
    <r>
      <t>Asistencia y Puntualidad</t>
    </r>
    <r>
      <rPr>
        <sz val="12"/>
        <color rgb="FF1F1F1F"/>
        <rFont val="Cambria"/>
        <charset val="1"/>
      </rPr>
      <t> </t>
    </r>
  </si>
  <si>
    <t>El grupo está completo y entrega en el tiempo estipulado. </t>
  </si>
  <si>
    <t>--- </t>
  </si>
  <si>
    <t>Presenta retrasos en la entrega o falta un integrante. </t>
  </si>
  <si>
    <t>El grupo no entrega o llega con retraso crítico. </t>
  </si>
  <si>
    <t>CESPEDES - CARRASCOO</t>
  </si>
  <si>
    <t>LIZAMA - RETAMAL</t>
  </si>
  <si>
    <t>AGUILA - BELTRAN</t>
  </si>
  <si>
    <t>Puntaje</t>
  </si>
  <si>
    <t>Fabian Aravena</t>
  </si>
  <si>
    <t>Jeison Vera</t>
  </si>
  <si>
    <t>Observaciones</t>
  </si>
  <si>
    <t>Desempeño</t>
  </si>
  <si>
    <t>No entrega</t>
  </si>
  <si>
    <t>Númer</t>
  </si>
  <si>
    <t>Nombre</t>
  </si>
  <si>
    <t>RUT</t>
  </si>
  <si>
    <t>TC3</t>
  </si>
  <si>
    <t>TC4</t>
  </si>
  <si>
    <t>TC8</t>
  </si>
  <si>
    <t>TC9</t>
  </si>
  <si>
    <t>TC10</t>
  </si>
  <si>
    <t>TC11</t>
  </si>
  <si>
    <t>SI</t>
  </si>
  <si>
    <t>SII</t>
  </si>
  <si>
    <t>AGUILA/AYANCAN JOSE</t>
  </si>
  <si>
    <t>BELTRAN/SOTO ALVARO</t>
  </si>
  <si>
    <t>CARRASCO/JORQUERA HANS</t>
  </si>
  <si>
    <t>CESPEDES/SAAVEDRA JORGE</t>
  </si>
  <si>
    <t>16902989K</t>
  </si>
  <si>
    <t>LIZAMA/LOBOS TATIANA</t>
  </si>
  <si>
    <t>13061213K</t>
  </si>
  <si>
    <t>RETAMAL/PALMA ROBERTO</t>
  </si>
  <si>
    <t>Fecha Revisión</t>
  </si>
  <si>
    <t>18-12</t>
  </si>
  <si>
    <t>Asistencia a Clases</t>
  </si>
  <si>
    <r>
      <t>Estudiante</t>
    </r>
    <r>
      <rPr>
        <sz val="12"/>
        <rFont val="Aptos"/>
        <charset val="1"/>
      </rPr>
      <t> </t>
    </r>
  </si>
  <si>
    <t>C1</t>
  </si>
  <si>
    <r>
      <t>C2</t>
    </r>
    <r>
      <rPr>
        <sz val="12"/>
        <rFont val="Aptos"/>
        <charset val="1"/>
      </rPr>
      <t> </t>
    </r>
  </si>
  <si>
    <r>
      <t>C3</t>
    </r>
    <r>
      <rPr>
        <sz val="12"/>
        <rFont val="Aptos"/>
        <charset val="1"/>
      </rPr>
      <t> </t>
    </r>
  </si>
  <si>
    <r>
      <t>C4</t>
    </r>
    <r>
      <rPr>
        <sz val="12"/>
        <rFont val="Aptos"/>
        <charset val="1"/>
      </rPr>
      <t> </t>
    </r>
  </si>
  <si>
    <r>
      <t>C5</t>
    </r>
    <r>
      <rPr>
        <sz val="12"/>
        <rFont val="Aptos"/>
        <charset val="1"/>
      </rPr>
      <t> </t>
    </r>
  </si>
  <si>
    <t>C6</t>
  </si>
  <si>
    <t xml:space="preserve">C7 </t>
  </si>
  <si>
    <t>C8</t>
  </si>
  <si>
    <t>C9</t>
  </si>
  <si>
    <t>C10</t>
  </si>
  <si>
    <t>C11</t>
  </si>
  <si>
    <t>C12</t>
  </si>
  <si>
    <t>P</t>
  </si>
  <si>
    <t>A</t>
  </si>
  <si>
    <t>Clases</t>
  </si>
  <si>
    <t>*Clase 6 (C6) se considera la solemne I</t>
  </si>
  <si>
    <t>*Clase 13 (C13) se considera solemen II</t>
  </si>
  <si>
    <t>Revisión del Recurso Didáctico: Presentación Interactiva</t>
  </si>
  <si>
    <t xml:space="preserve"> </t>
  </si>
  <si>
    <t>I</t>
  </si>
  <si>
    <t>SA</t>
  </si>
  <si>
    <t>NA</t>
  </si>
  <si>
    <t>MC</t>
  </si>
  <si>
    <t>Revisión del Recurso Didáctico: Taller/Resumen Clase /Documentos</t>
  </si>
  <si>
    <t>NA: no aplica, no hay material didáctico o es la evaluación solemne</t>
  </si>
  <si>
    <t>SA: sin abrir</t>
  </si>
  <si>
    <t>I: Iniciado</t>
  </si>
  <si>
    <t>MC: marcado completado</t>
  </si>
  <si>
    <t>Entrega de Evaluaciones</t>
  </si>
  <si>
    <r>
      <rPr>
        <b/>
        <sz val="12"/>
        <color rgb="FF000000"/>
        <rFont val="Aptos"/>
      </rPr>
      <t>TC3</t>
    </r>
    <r>
      <rPr>
        <sz val="12"/>
        <color rgb="FF000000"/>
        <rFont val="Aptos"/>
      </rPr>
      <t> </t>
    </r>
  </si>
  <si>
    <r>
      <rPr>
        <b/>
        <sz val="12"/>
        <color rgb="FF000000"/>
        <rFont val="Aptos"/>
      </rPr>
      <t>TC4</t>
    </r>
    <r>
      <rPr>
        <sz val="12"/>
        <color rgb="FF000000"/>
        <rFont val="Aptos"/>
      </rPr>
      <t> </t>
    </r>
  </si>
  <si>
    <t>ESI</t>
  </si>
  <si>
    <t>E</t>
  </si>
  <si>
    <t>SE</t>
  </si>
  <si>
    <t>SE: sin entrega</t>
  </si>
  <si>
    <t>BG: borrador guardado</t>
  </si>
  <si>
    <t>E: enviado</t>
  </si>
  <si>
    <t>Abreviaturas</t>
  </si>
  <si>
    <t>Ci: Clase i</t>
  </si>
  <si>
    <t>TCi: Taller Clase i</t>
  </si>
  <si>
    <t>ESI: Solemne I</t>
  </si>
  <si>
    <t>ESII: Solemne II</t>
  </si>
  <si>
    <t>CiP: Clase i Presencial</t>
  </si>
  <si>
    <t>Resumen de calificaciones</t>
  </si>
  <si>
    <t>Promedio</t>
  </si>
  <si>
    <t xml:space="preserve">Promedio </t>
  </si>
  <si>
    <t>ESII</t>
  </si>
  <si>
    <t>Taller</t>
  </si>
  <si>
    <t>Solemne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</si>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</sst>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Aptos Narrow"/>
      <family val="2"/>
      <scheme val="minor"/>
    </font>
    <font>
      <sz val="12"/>
      <color rgb="FF1B1C1D"/>
      <name val="Aptos"/>
      <charset val="1"/>
    </font>
    <font>
      <b/>
      <sz val="12"/>
      <color rgb="FF1B1C1D"/>
      <name val="Aptos"/>
      <charset val="1"/>
    </font>
    <font>
      <b/>
      <sz val="14"/>
      <color theme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"/>
      <charset val="1"/>
    </font>
    <font>
      <sz val="12"/>
      <name val="Aptos"/>
      <charset val="1"/>
    </font>
    <font>
      <sz val="9"/>
      <color theme="1"/>
      <name val="Aptos Narrow"/>
      <family val="2"/>
      <scheme val="minor"/>
    </font>
    <font>
      <b/>
      <sz val="12"/>
      <color rgb="FF000000"/>
      <name val="Aptos"/>
    </font>
    <font>
      <sz val="12"/>
      <color rgb="FF000000"/>
      <name val="Aptos"/>
    </font>
    <font>
      <sz val="12"/>
      <color rgb="FF1F1F1F"/>
      <name val="Cambria"/>
      <charset val="1"/>
    </font>
    <font>
      <b/>
      <sz val="12"/>
      <color rgb="FF1F1F1F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8FAFD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2" fillId="0" borderId="8" xfId="0" applyFont="1" applyBorder="1" applyAlignment="1">
      <alignment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2" fillId="2" borderId="10" xfId="0" applyFont="1" applyFill="1" applyBorder="1" applyAlignment="1">
      <alignment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wrapText="1" readingOrder="1"/>
    </xf>
    <xf numFmtId="0" fontId="0" fillId="0" borderId="13" xfId="0" applyBorder="1" applyAlignment="1">
      <alignment wrapText="1"/>
    </xf>
    <xf numFmtId="9" fontId="0" fillId="0" borderId="13" xfId="0" applyNumberFormat="1" applyBorder="1"/>
    <xf numFmtId="0" fontId="0" fillId="0" borderId="13" xfId="0" applyBorder="1"/>
    <xf numFmtId="0" fontId="1" fillId="0" borderId="14" xfId="0" applyFont="1" applyBorder="1" applyAlignment="1">
      <alignment horizontal="center" vertical="center" wrapText="1" readingOrder="1"/>
    </xf>
    <xf numFmtId="0" fontId="1" fillId="0" borderId="15" xfId="0" applyFont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0" fillId="0" borderId="16" xfId="0" applyBorder="1"/>
    <xf numFmtId="0" fontId="2" fillId="0" borderId="4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13" xfId="0" applyFont="1" applyBorder="1" applyAlignment="1">
      <alignment wrapText="1" readingOrder="1"/>
    </xf>
    <xf numFmtId="0" fontId="5" fillId="0" borderId="13" xfId="0" applyFont="1" applyBorder="1" applyAlignment="1">
      <alignment horizontal="center" wrapText="1" readingOrder="1"/>
    </xf>
    <xf numFmtId="0" fontId="6" fillId="0" borderId="13" xfId="0" applyFont="1" applyBorder="1" applyAlignment="1">
      <alignment wrapText="1" readingOrder="1"/>
    </xf>
    <xf numFmtId="0" fontId="6" fillId="0" borderId="13" xfId="0" applyFont="1" applyBorder="1" applyAlignment="1">
      <alignment horizontal="center" wrapText="1" readingOrder="1"/>
    </xf>
    <xf numFmtId="10" fontId="0" fillId="0" borderId="0" xfId="0" applyNumberFormat="1"/>
    <xf numFmtId="16" fontId="0" fillId="0" borderId="0" xfId="0" applyNumberFormat="1"/>
    <xf numFmtId="0" fontId="0" fillId="0" borderId="13" xfId="0" applyBorder="1" applyAlignment="1">
      <alignment horizontal="center"/>
    </xf>
    <xf numFmtId="16" fontId="7" fillId="0" borderId="0" xfId="0" applyNumberFormat="1" applyFont="1" applyAlignment="1">
      <alignment horizontal="center"/>
    </xf>
    <xf numFmtId="0" fontId="8" fillId="0" borderId="13" xfId="0" applyFont="1" applyBorder="1" applyAlignment="1">
      <alignment horizontal="center" wrapText="1" readingOrder="1"/>
    </xf>
    <xf numFmtId="164" fontId="0" fillId="0" borderId="1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11" fillId="3" borderId="1" xfId="0" applyFont="1" applyFill="1" applyBorder="1" applyAlignment="1">
      <alignment wrapText="1" readingOrder="1"/>
    </xf>
    <xf numFmtId="0" fontId="11" fillId="3" borderId="2" xfId="0" applyFont="1" applyFill="1" applyBorder="1" applyAlignment="1">
      <alignment wrapText="1" readingOrder="1"/>
    </xf>
    <xf numFmtId="0" fontId="11" fillId="3" borderId="4" xfId="0" applyFont="1" applyFill="1" applyBorder="1" applyAlignment="1">
      <alignment wrapText="1" readingOrder="1"/>
    </xf>
    <xf numFmtId="0" fontId="10" fillId="3" borderId="5" xfId="0" applyFont="1" applyFill="1" applyBorder="1" applyAlignment="1">
      <alignment wrapText="1" readingOrder="1"/>
    </xf>
    <xf numFmtId="0" fontId="11" fillId="3" borderId="7" xfId="0" applyFont="1" applyFill="1" applyBorder="1" applyAlignment="1">
      <alignment wrapText="1" readingOrder="1"/>
    </xf>
    <xf numFmtId="0" fontId="10" fillId="3" borderId="8" xfId="0" applyFont="1" applyFill="1" applyBorder="1" applyAlignment="1">
      <alignment wrapText="1" readingOrder="1"/>
    </xf>
    <xf numFmtId="0" fontId="10" fillId="3" borderId="8" xfId="0" quotePrefix="1" applyFont="1" applyFill="1" applyBorder="1" applyAlignment="1">
      <alignment wrapText="1" readingOrder="1"/>
    </xf>
    <xf numFmtId="0" fontId="4" fillId="0" borderId="13" xfId="0" applyFont="1" applyBorder="1" applyAlignment="1">
      <alignment horizontal="center"/>
    </xf>
    <xf numFmtId="0" fontId="11" fillId="3" borderId="17" xfId="0" applyFont="1" applyFill="1" applyBorder="1" applyAlignment="1">
      <alignment wrapText="1" readingOrder="1"/>
    </xf>
    <xf numFmtId="0" fontId="10" fillId="3" borderId="18" xfId="0" applyFont="1" applyFill="1" applyBorder="1" applyAlignment="1">
      <alignment wrapText="1" readingOrder="1"/>
    </xf>
    <xf numFmtId="0" fontId="10" fillId="3" borderId="19" xfId="0" applyFont="1" applyFill="1" applyBorder="1" applyAlignment="1">
      <alignment wrapText="1" readingOrder="1"/>
    </xf>
    <xf numFmtId="0" fontId="11" fillId="3" borderId="20" xfId="0" applyFont="1" applyFill="1" applyBorder="1" applyAlignment="1">
      <alignment wrapText="1" readingOrder="1"/>
    </xf>
    <xf numFmtId="164" fontId="11" fillId="3" borderId="21" xfId="0" applyNumberFormat="1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22" xfId="0" applyFont="1" applyBorder="1" applyAlignment="1">
      <alignment wrapText="1" readingOrder="1"/>
    </xf>
    <xf numFmtId="164" fontId="0" fillId="0" borderId="23" xfId="0" applyNumberFormat="1" applyBorder="1" applyAlignment="1">
      <alignment horizontal="center"/>
    </xf>
    <xf numFmtId="0" fontId="8" fillId="0" borderId="16" xfId="0" applyFont="1" applyBorder="1" applyAlignment="1">
      <alignment horizontal="center" wrapText="1" readingOrder="1"/>
    </xf>
    <xf numFmtId="164" fontId="0" fillId="0" borderId="22" xfId="0" applyNumberFormat="1" applyBorder="1" applyAlignment="1">
      <alignment horizontal="center"/>
    </xf>
  </cellXfs>
  <cellStyles count="1">
    <cellStyle name="Normal" xfId="0" builtinId="0"/>
  </cellStyles>
  <dxfs count="50"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Escala de Notas Asistencia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flat" cmpd="sng" algn="ctr">
              <a:solidFill>
                <a:srgbClr val="FF0000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Asistencia!$L$4:$L$7</c:f>
              <c:numCache>
                <c:formatCode>General</c:formatCode>
                <c:ptCount val="4"/>
                <c:pt idx="0">
                  <c:v>0</c:v>
                </c:pt>
                <c:pt idx="1">
                  <c:v>60</c:v>
                </c:pt>
                <c:pt idx="2">
                  <c:v>90</c:v>
                </c:pt>
                <c:pt idx="3">
                  <c:v>100</c:v>
                </c:pt>
              </c:numCache>
            </c:numRef>
          </c:xVal>
          <c:yVal>
            <c:numRef>
              <c:f>Asistencia!$M$4:$M$7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9-43A8-8C0C-830F72B68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466440"/>
        <c:axId val="1656468488"/>
      </c:scatterChart>
      <c:valAx>
        <c:axId val="165646644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468488"/>
        <c:crosses val="autoZero"/>
        <c:crossBetween val="midCat"/>
        <c:majorUnit val="10"/>
      </c:valAx>
      <c:valAx>
        <c:axId val="1656468488"/>
        <c:scaling>
          <c:orientation val="minMax"/>
          <c:max val="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46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12</xdr:row>
      <xdr:rowOff>104775</xdr:rowOff>
    </xdr:from>
    <xdr:to>
      <xdr:col>4</xdr:col>
      <xdr:colOff>466725</xdr:colOff>
      <xdr:row>21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A15B6D-7703-4C09-8722-83A2F54D9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90775"/>
          <a:ext cx="3895725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8</xdr:row>
      <xdr:rowOff>161925</xdr:rowOff>
    </xdr:from>
    <xdr:to>
      <xdr:col>18</xdr:col>
      <xdr:colOff>552450</xdr:colOff>
      <xdr:row>31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892E12-5E4C-6CB4-2748-66EDE476B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7"/>
  <sheetViews>
    <sheetView workbookViewId="0">
      <selection activeCell="B4" sqref="B4"/>
    </sheetView>
  </sheetViews>
  <sheetFormatPr defaultRowHeight="15"/>
  <cols>
    <col min="1" max="1" width="7.140625" customWidth="1"/>
    <col min="2" max="2" width="31.85546875" customWidth="1"/>
    <col min="3" max="3" width="71.5703125" customWidth="1"/>
    <col min="4" max="4" width="16.5703125" customWidth="1"/>
  </cols>
  <sheetData>
    <row r="3" spans="1:4" ht="35.25" customHeight="1">
      <c r="A3" s="8" t="s">
        <v>0</v>
      </c>
      <c r="B3" s="9" t="s">
        <v>1</v>
      </c>
      <c r="C3" s="10" t="s">
        <v>2</v>
      </c>
      <c r="D3" s="13" t="s">
        <v>3</v>
      </c>
    </row>
    <row r="4" spans="1:4" ht="69.75" customHeight="1">
      <c r="A4" s="11">
        <v>1</v>
      </c>
      <c r="B4" s="2" t="s">
        <v>4</v>
      </c>
      <c r="C4" s="3" t="s">
        <v>5</v>
      </c>
      <c r="D4" s="14" t="s">
        <v>6</v>
      </c>
    </row>
    <row r="5" spans="1:4" ht="89.25" customHeight="1">
      <c r="A5" s="11">
        <v>2</v>
      </c>
      <c r="B5" s="2" t="s">
        <v>7</v>
      </c>
      <c r="C5" s="3" t="s">
        <v>8</v>
      </c>
      <c r="D5" s="14" t="s">
        <v>9</v>
      </c>
    </row>
    <row r="6" spans="1:4" ht="74.25" customHeight="1">
      <c r="A6" s="11">
        <v>3</v>
      </c>
      <c r="B6" s="2" t="s">
        <v>10</v>
      </c>
      <c r="C6" s="4" t="s">
        <v>11</v>
      </c>
      <c r="D6" s="14" t="s">
        <v>6</v>
      </c>
    </row>
    <row r="7" spans="1:4" ht="92.25" customHeight="1">
      <c r="A7" s="12">
        <v>4</v>
      </c>
      <c r="B7" s="6" t="s">
        <v>12</v>
      </c>
      <c r="C7" s="7" t="s">
        <v>13</v>
      </c>
      <c r="D7" s="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89C3-B280-493F-A3F2-40E4F78A5597}">
  <dimension ref="A1:C6"/>
  <sheetViews>
    <sheetView workbookViewId="0">
      <selection activeCell="C6" sqref="C2:C6"/>
    </sheetView>
  </sheetViews>
  <sheetFormatPr defaultRowHeight="15"/>
  <cols>
    <col min="1" max="1" width="26.85546875" customWidth="1"/>
    <col min="2" max="2" width="22.7109375" customWidth="1"/>
    <col min="3" max="3" width="64.7109375" customWidth="1"/>
  </cols>
  <sheetData>
    <row r="1" spans="1:3" ht="30.75">
      <c r="A1" s="8" t="s">
        <v>15</v>
      </c>
      <c r="B1" s="9" t="s">
        <v>16</v>
      </c>
      <c r="C1" s="10" t="s">
        <v>17</v>
      </c>
    </row>
    <row r="2" spans="1:3" ht="86.25" customHeight="1">
      <c r="A2" s="1" t="s">
        <v>18</v>
      </c>
      <c r="B2" s="2" t="s">
        <v>19</v>
      </c>
      <c r="C2" s="3" t="s">
        <v>20</v>
      </c>
    </row>
    <row r="3" spans="1:3" ht="75.75" customHeight="1">
      <c r="A3" s="1" t="s">
        <v>21</v>
      </c>
      <c r="B3" s="2" t="s">
        <v>22</v>
      </c>
      <c r="C3" s="3" t="s">
        <v>23</v>
      </c>
    </row>
    <row r="4" spans="1:3" ht="87" customHeight="1">
      <c r="A4" s="1" t="s">
        <v>24</v>
      </c>
      <c r="B4" s="2" t="s">
        <v>25</v>
      </c>
      <c r="C4" s="3" t="s">
        <v>26</v>
      </c>
    </row>
    <row r="5" spans="1:3" ht="72" customHeight="1">
      <c r="A5" s="1" t="s">
        <v>27</v>
      </c>
      <c r="B5" s="2" t="s">
        <v>28</v>
      </c>
      <c r="C5" s="3" t="s">
        <v>29</v>
      </c>
    </row>
    <row r="6" spans="1:3" ht="72" customHeight="1">
      <c r="A6" s="5" t="s">
        <v>30</v>
      </c>
      <c r="B6" s="6" t="s">
        <v>31</v>
      </c>
      <c r="C6" s="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2E04-56F2-49D1-BD9A-CFE130DEFD42}">
  <dimension ref="A1:J19"/>
  <sheetViews>
    <sheetView workbookViewId="0">
      <selection activeCell="H8" sqref="H8"/>
    </sheetView>
  </sheetViews>
  <sheetFormatPr defaultRowHeight="15"/>
  <cols>
    <col min="1" max="1" width="25.7109375" customWidth="1"/>
    <col min="2" max="2" width="15.7109375" customWidth="1"/>
    <col min="3" max="7" width="25.140625" customWidth="1"/>
  </cols>
  <sheetData>
    <row r="1" spans="1:10" ht="15.75">
      <c r="A1" s="41" t="s">
        <v>33</v>
      </c>
      <c r="B1" s="52" t="s">
        <v>34</v>
      </c>
      <c r="C1" s="42" t="s">
        <v>35</v>
      </c>
      <c r="D1" s="42" t="s">
        <v>36</v>
      </c>
      <c r="E1" s="42" t="s">
        <v>37</v>
      </c>
      <c r="F1" s="42" t="s">
        <v>38</v>
      </c>
      <c r="G1" s="49" t="s">
        <v>39</v>
      </c>
      <c r="H1" s="48" t="s">
        <v>40</v>
      </c>
      <c r="I1" s="48" t="s">
        <v>41</v>
      </c>
      <c r="J1" s="48" t="s">
        <v>42</v>
      </c>
    </row>
    <row r="2" spans="1:10" ht="62.25">
      <c r="A2" s="43" t="s">
        <v>43</v>
      </c>
      <c r="B2" s="53">
        <v>0.3</v>
      </c>
      <c r="C2" s="44" t="s">
        <v>44</v>
      </c>
      <c r="D2" s="44" t="s">
        <v>45</v>
      </c>
      <c r="E2" s="44" t="s">
        <v>46</v>
      </c>
      <c r="F2" s="44" t="s">
        <v>47</v>
      </c>
      <c r="G2" s="50" t="s">
        <v>48</v>
      </c>
      <c r="H2" s="19">
        <v>85</v>
      </c>
      <c r="I2" s="19">
        <v>100</v>
      </c>
      <c r="J2" s="19"/>
    </row>
    <row r="3" spans="1:10" ht="62.25">
      <c r="A3" s="43" t="s">
        <v>49</v>
      </c>
      <c r="B3" s="53">
        <v>0.3</v>
      </c>
      <c r="C3" s="44" t="s">
        <v>50</v>
      </c>
      <c r="D3" s="44" t="s">
        <v>51</v>
      </c>
      <c r="E3" s="44" t="s">
        <v>52</v>
      </c>
      <c r="F3" s="44" t="s">
        <v>53</v>
      </c>
      <c r="G3" s="50" t="s">
        <v>54</v>
      </c>
      <c r="H3" s="19">
        <v>60</v>
      </c>
      <c r="I3" s="19">
        <v>100</v>
      </c>
      <c r="J3" s="19"/>
    </row>
    <row r="4" spans="1:10" ht="78">
      <c r="A4" s="43" t="s">
        <v>55</v>
      </c>
      <c r="B4" s="53">
        <f t="shared" ref="B4:B6" si="0">1/5</f>
        <v>0.2</v>
      </c>
      <c r="C4" s="44" t="s">
        <v>56</v>
      </c>
      <c r="D4" s="44" t="s">
        <v>57</v>
      </c>
      <c r="E4" s="44" t="s">
        <v>58</v>
      </c>
      <c r="F4" s="44" t="s">
        <v>59</v>
      </c>
      <c r="G4" s="50" t="s">
        <v>60</v>
      </c>
      <c r="H4" s="19">
        <v>30</v>
      </c>
      <c r="I4" s="19">
        <v>100</v>
      </c>
      <c r="J4" s="19"/>
    </row>
    <row r="5" spans="1:10" ht="62.25">
      <c r="A5" s="43" t="s">
        <v>61</v>
      </c>
      <c r="B5" s="53">
        <v>0</v>
      </c>
      <c r="C5" s="44" t="s">
        <v>62</v>
      </c>
      <c r="D5" s="44" t="s">
        <v>63</v>
      </c>
      <c r="E5" s="44" t="s">
        <v>64</v>
      </c>
      <c r="F5" s="44" t="s">
        <v>65</v>
      </c>
      <c r="G5" s="50" t="s">
        <v>66</v>
      </c>
      <c r="H5" s="19"/>
      <c r="I5" s="19">
        <v>0</v>
      </c>
      <c r="J5" s="19"/>
    </row>
    <row r="6" spans="1:10" ht="46.5">
      <c r="A6" s="45" t="s">
        <v>67</v>
      </c>
      <c r="B6" s="53">
        <f t="shared" si="0"/>
        <v>0.2</v>
      </c>
      <c r="C6" s="46" t="s">
        <v>68</v>
      </c>
      <c r="D6" s="47" t="s">
        <v>69</v>
      </c>
      <c r="E6" s="47" t="s">
        <v>69</v>
      </c>
      <c r="F6" s="46" t="s">
        <v>70</v>
      </c>
      <c r="G6" s="51" t="s">
        <v>71</v>
      </c>
      <c r="H6" s="19">
        <v>80</v>
      </c>
      <c r="I6" s="19">
        <v>100</v>
      </c>
      <c r="J6" s="19"/>
    </row>
    <row r="7" spans="1:10">
      <c r="H7">
        <f>SUMPRODUCT($B$2:$B$6,H2:H6)</f>
        <v>65.5</v>
      </c>
      <c r="I7">
        <f t="shared" ref="I7:J7" si="1">SUMPRODUCT($B$2:$B$6,I2:I6)</f>
        <v>100</v>
      </c>
      <c r="J7">
        <f t="shared" si="1"/>
        <v>0</v>
      </c>
    </row>
    <row r="9" spans="1:10">
      <c r="C9" t="s">
        <v>40</v>
      </c>
      <c r="D9" t="s">
        <v>72</v>
      </c>
    </row>
    <row r="10" spans="1:10">
      <c r="C10" t="s">
        <v>41</v>
      </c>
      <c r="D10" t="s">
        <v>73</v>
      </c>
    </row>
    <row r="11" spans="1:10">
      <c r="C11" t="s">
        <v>42</v>
      </c>
      <c r="D11" t="s">
        <v>74</v>
      </c>
    </row>
    <row r="15" spans="1:10" ht="15.75">
      <c r="C15" s="41" t="s">
        <v>33</v>
      </c>
      <c r="D15" s="41"/>
      <c r="E15" s="41" t="s">
        <v>75</v>
      </c>
    </row>
    <row r="16" spans="1:10" ht="46.5">
      <c r="C16" s="43" t="s">
        <v>43</v>
      </c>
      <c r="D16" s="44" t="s">
        <v>45</v>
      </c>
      <c r="E16" s="19">
        <v>85</v>
      </c>
    </row>
    <row r="17" spans="3:5" ht="46.5">
      <c r="C17" s="43" t="s">
        <v>49</v>
      </c>
      <c r="D17" s="44" t="s">
        <v>53</v>
      </c>
      <c r="E17" s="19">
        <v>60</v>
      </c>
    </row>
    <row r="18" spans="3:5" ht="46.5">
      <c r="C18" s="43" t="s">
        <v>55</v>
      </c>
      <c r="D18" s="50" t="s">
        <v>60</v>
      </c>
      <c r="E18" s="19">
        <v>30</v>
      </c>
    </row>
    <row r="19" spans="3:5" ht="46.5">
      <c r="C19" s="45" t="s">
        <v>67</v>
      </c>
      <c r="D19" s="46" t="s">
        <v>70</v>
      </c>
      <c r="E19" s="19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3DB7-F6AC-412A-9571-8659BD5C6CA6}">
  <sheetPr>
    <tabColor rgb="FFFFC000"/>
  </sheetPr>
  <dimension ref="A2:I8"/>
  <sheetViews>
    <sheetView workbookViewId="0">
      <selection activeCell="D19" sqref="D19"/>
    </sheetView>
  </sheetViews>
  <sheetFormatPr defaultRowHeight="15"/>
  <cols>
    <col min="2" max="2" width="46.85546875" customWidth="1"/>
    <col min="3" max="3" width="11.7109375" customWidth="1"/>
    <col min="4" max="4" width="41.42578125" customWidth="1"/>
    <col min="7" max="7" width="50" customWidth="1"/>
  </cols>
  <sheetData>
    <row r="2" spans="1:9" ht="18.75">
      <c r="D2" s="54" t="s">
        <v>76</v>
      </c>
      <c r="E2" s="54"/>
      <c r="F2" s="54"/>
      <c r="G2" s="54" t="s">
        <v>77</v>
      </c>
      <c r="H2" s="54"/>
      <c r="I2" s="54"/>
    </row>
    <row r="3" spans="1:9" ht="30.75">
      <c r="A3" s="8" t="s">
        <v>0</v>
      </c>
      <c r="B3" s="9" t="s">
        <v>1</v>
      </c>
      <c r="C3" s="16" t="s">
        <v>3</v>
      </c>
      <c r="D3" s="22" t="s">
        <v>78</v>
      </c>
      <c r="E3" s="22" t="s">
        <v>79</v>
      </c>
      <c r="F3" s="22" t="s">
        <v>75</v>
      </c>
      <c r="G3" s="22" t="s">
        <v>80</v>
      </c>
      <c r="H3" s="22" t="s">
        <v>79</v>
      </c>
      <c r="I3" s="22" t="s">
        <v>75</v>
      </c>
    </row>
    <row r="4" spans="1:9" ht="27.75" customHeight="1">
      <c r="A4" s="24">
        <v>1</v>
      </c>
      <c r="B4" s="2" t="s">
        <v>4</v>
      </c>
      <c r="C4" s="20">
        <v>20</v>
      </c>
      <c r="D4" s="17"/>
      <c r="E4" s="18">
        <v>0.8</v>
      </c>
      <c r="F4" s="19"/>
      <c r="G4" s="19"/>
      <c r="H4" s="18">
        <v>0</v>
      </c>
      <c r="I4" s="19"/>
    </row>
    <row r="5" spans="1:9" ht="27.75" customHeight="1">
      <c r="A5" s="24">
        <v>2</v>
      </c>
      <c r="B5" s="2" t="s">
        <v>7</v>
      </c>
      <c r="C5" s="20">
        <v>35</v>
      </c>
      <c r="D5" s="17"/>
      <c r="E5" s="18">
        <v>0.7</v>
      </c>
      <c r="F5" s="19"/>
      <c r="G5" s="19"/>
      <c r="H5" s="18">
        <v>0</v>
      </c>
      <c r="I5" s="19"/>
    </row>
    <row r="6" spans="1:9" ht="27.75" customHeight="1">
      <c r="A6" s="24">
        <v>3</v>
      </c>
      <c r="B6" s="2" t="s">
        <v>10</v>
      </c>
      <c r="C6" s="20">
        <v>20</v>
      </c>
      <c r="D6" s="17"/>
      <c r="E6" s="18">
        <v>0.9</v>
      </c>
      <c r="F6" s="19"/>
      <c r="G6" s="19"/>
      <c r="H6" s="18">
        <v>0</v>
      </c>
      <c r="I6" s="19"/>
    </row>
    <row r="7" spans="1:9" ht="27.75" customHeight="1">
      <c r="A7" s="25">
        <v>4</v>
      </c>
      <c r="B7" s="6" t="s">
        <v>12</v>
      </c>
      <c r="C7" s="21">
        <v>25</v>
      </c>
      <c r="D7" s="17"/>
      <c r="E7" s="18">
        <v>1</v>
      </c>
      <c r="F7" s="23"/>
      <c r="G7" s="19"/>
      <c r="H7" s="18">
        <v>0</v>
      </c>
      <c r="I7" s="23"/>
    </row>
    <row r="8" spans="1:9">
      <c r="F8" s="19">
        <f>SUM(F4:F7)</f>
        <v>0</v>
      </c>
      <c r="I8" s="19">
        <f>SUM(I4:I7)</f>
        <v>0</v>
      </c>
    </row>
  </sheetData>
  <mergeCells count="2">
    <mergeCell ref="D2:F2"/>
    <mergeCell ref="G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0C0B-0F8A-43BD-AA99-432C6A8F4163}">
  <dimension ref="A3:K19"/>
  <sheetViews>
    <sheetView workbookViewId="0">
      <selection activeCell="J4" sqref="J4:J9"/>
    </sheetView>
  </sheetViews>
  <sheetFormatPr defaultRowHeight="15"/>
  <cols>
    <col min="1" max="1" width="9.85546875" customWidth="1"/>
    <col min="2" max="2" width="27.7109375" customWidth="1"/>
    <col min="3" max="3" width="13.85546875" customWidth="1"/>
  </cols>
  <sheetData>
    <row r="3" spans="1:11">
      <c r="A3" s="40" t="s">
        <v>81</v>
      </c>
      <c r="B3" s="27" t="s">
        <v>82</v>
      </c>
      <c r="C3" s="27" t="s">
        <v>83</v>
      </c>
      <c r="D3" s="40" t="s">
        <v>84</v>
      </c>
      <c r="E3" s="40" t="s">
        <v>85</v>
      </c>
      <c r="F3" s="40" t="s">
        <v>86</v>
      </c>
      <c r="G3" s="40" t="s">
        <v>87</v>
      </c>
      <c r="H3" s="40" t="s">
        <v>88</v>
      </c>
      <c r="I3" s="40" t="s">
        <v>89</v>
      </c>
      <c r="J3" s="40" t="s">
        <v>90</v>
      </c>
      <c r="K3" s="40" t="s">
        <v>91</v>
      </c>
    </row>
    <row r="4" spans="1:11">
      <c r="A4" s="26">
        <v>1</v>
      </c>
      <c r="B4" t="s">
        <v>92</v>
      </c>
      <c r="C4" s="39">
        <v>172962696</v>
      </c>
      <c r="D4" s="38">
        <v>6</v>
      </c>
      <c r="E4" s="38">
        <v>1</v>
      </c>
      <c r="F4" s="38">
        <v>1</v>
      </c>
      <c r="G4" s="38"/>
      <c r="H4" s="38"/>
      <c r="I4" s="38"/>
      <c r="J4" s="38">
        <v>5.8</v>
      </c>
      <c r="K4" s="38"/>
    </row>
    <row r="5" spans="1:11">
      <c r="A5" s="26">
        <v>2</v>
      </c>
      <c r="B5" t="s">
        <v>93</v>
      </c>
      <c r="C5" s="39">
        <v>161519006</v>
      </c>
      <c r="D5" s="38">
        <v>6</v>
      </c>
      <c r="E5" s="38">
        <v>1</v>
      </c>
      <c r="F5" s="38">
        <v>1</v>
      </c>
      <c r="G5" s="38"/>
      <c r="H5" s="38"/>
      <c r="I5" s="38"/>
      <c r="J5" s="38">
        <v>5.8</v>
      </c>
      <c r="K5" s="38"/>
    </row>
    <row r="6" spans="1:11">
      <c r="A6" s="26">
        <v>3</v>
      </c>
      <c r="B6" t="s">
        <v>94</v>
      </c>
      <c r="C6" s="39">
        <v>194321104</v>
      </c>
      <c r="D6" s="38">
        <v>6.1</v>
      </c>
      <c r="E6" s="38">
        <v>4.5</v>
      </c>
      <c r="F6" s="38">
        <v>3</v>
      </c>
      <c r="G6" s="38"/>
      <c r="H6" s="38"/>
      <c r="I6" s="38"/>
      <c r="J6" s="38">
        <v>6.4</v>
      </c>
      <c r="K6" s="38"/>
    </row>
    <row r="7" spans="1:11">
      <c r="A7" s="26">
        <v>4</v>
      </c>
      <c r="B7" t="s">
        <v>95</v>
      </c>
      <c r="C7" s="39" t="s">
        <v>96</v>
      </c>
      <c r="D7" s="38">
        <v>6.1</v>
      </c>
      <c r="E7" s="38">
        <v>4.5</v>
      </c>
      <c r="F7" s="38">
        <v>3</v>
      </c>
      <c r="G7" s="38"/>
      <c r="H7" s="38"/>
      <c r="I7" s="38"/>
      <c r="J7" s="38">
        <v>6.4</v>
      </c>
      <c r="K7" s="38"/>
    </row>
    <row r="8" spans="1:11">
      <c r="A8" s="26">
        <v>5</v>
      </c>
      <c r="B8" t="s">
        <v>97</v>
      </c>
      <c r="C8" s="39" t="s">
        <v>98</v>
      </c>
      <c r="D8" s="38">
        <v>6.3</v>
      </c>
      <c r="E8" s="38">
        <v>7</v>
      </c>
      <c r="F8" s="38">
        <v>7</v>
      </c>
      <c r="G8" s="38"/>
      <c r="H8" s="38"/>
      <c r="I8" s="38"/>
      <c r="J8" s="38">
        <v>6.4</v>
      </c>
      <c r="K8" s="38"/>
    </row>
    <row r="9" spans="1:11">
      <c r="A9" s="26">
        <v>6</v>
      </c>
      <c r="B9" t="s">
        <v>99</v>
      </c>
      <c r="C9" s="39">
        <v>175321861</v>
      </c>
      <c r="D9" s="38">
        <v>6.3</v>
      </c>
      <c r="E9" s="38">
        <v>7</v>
      </c>
      <c r="F9" s="38">
        <v>7</v>
      </c>
      <c r="G9" s="38"/>
      <c r="H9" s="38"/>
      <c r="I9" s="38"/>
      <c r="J9" s="38">
        <v>6.4</v>
      </c>
      <c r="K9" s="38"/>
    </row>
    <row r="13" spans="1:11">
      <c r="D13" s="40"/>
    </row>
    <row r="14" spans="1:11">
      <c r="D14" s="38"/>
    </row>
    <row r="15" spans="1:11">
      <c r="D15" s="38"/>
    </row>
    <row r="16" spans="1:11">
      <c r="D16" s="38"/>
    </row>
    <row r="17" spans="4:4">
      <c r="D17" s="38"/>
    </row>
    <row r="18" spans="4:4">
      <c r="D18" s="38"/>
    </row>
    <row r="19" spans="4:4">
      <c r="D19" s="3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A98D-1DB2-4517-8F7A-468B7090DF01}">
  <dimension ref="A1:Q67"/>
  <sheetViews>
    <sheetView tabSelected="1" topLeftCell="A41" workbookViewId="0">
      <selection activeCell="O59" sqref="O59:S72"/>
    </sheetView>
  </sheetViews>
  <sheetFormatPr defaultRowHeight="15"/>
  <cols>
    <col min="1" max="1" width="34.42578125" customWidth="1"/>
    <col min="11" max="11" width="11" customWidth="1"/>
    <col min="12" max="13" width="11.85546875" customWidth="1"/>
    <col min="14" max="14" width="11.42578125" customWidth="1"/>
    <col min="16" max="16" width="10.5703125" customWidth="1"/>
    <col min="17" max="17" width="11.85546875" customWidth="1"/>
    <col min="18" max="19" width="11.42578125" customWidth="1"/>
  </cols>
  <sheetData>
    <row r="1" spans="1:14">
      <c r="A1" t="s">
        <v>100</v>
      </c>
      <c r="B1" s="55" t="s">
        <v>101</v>
      </c>
      <c r="C1" s="55"/>
      <c r="D1" s="55"/>
      <c r="E1" s="55"/>
      <c r="F1" s="55"/>
    </row>
    <row r="2" spans="1:14">
      <c r="B2" s="26"/>
      <c r="C2" s="26"/>
      <c r="D2" s="26"/>
      <c r="E2" s="26"/>
      <c r="F2" s="26"/>
    </row>
    <row r="3" spans="1:14">
      <c r="B3" s="26">
        <f>DAY(B13)</f>
        <v>7</v>
      </c>
      <c r="C3" s="26">
        <f t="shared" ref="C3:M3" si="0">DAY(C13)</f>
        <v>14</v>
      </c>
      <c r="D3" s="26">
        <f t="shared" si="0"/>
        <v>21</v>
      </c>
      <c r="E3" s="26">
        <f t="shared" si="0"/>
        <v>28</v>
      </c>
      <c r="F3" s="26">
        <f t="shared" si="0"/>
        <v>4</v>
      </c>
      <c r="G3" s="26">
        <f t="shared" si="0"/>
        <v>11</v>
      </c>
      <c r="H3" s="26">
        <f t="shared" si="0"/>
        <v>18</v>
      </c>
      <c r="I3" s="26">
        <f t="shared" si="0"/>
        <v>25</v>
      </c>
      <c r="J3" s="26">
        <f t="shared" si="0"/>
        <v>2</v>
      </c>
      <c r="K3" s="26">
        <f t="shared" si="0"/>
        <v>9</v>
      </c>
      <c r="L3" s="26">
        <f t="shared" si="0"/>
        <v>16</v>
      </c>
      <c r="M3" s="26">
        <f t="shared" si="0"/>
        <v>23</v>
      </c>
    </row>
    <row r="4" spans="1:14">
      <c r="A4" s="27" t="s">
        <v>102</v>
      </c>
      <c r="B4" s="26">
        <f>MONTH(B13)</f>
        <v>3</v>
      </c>
      <c r="C4" s="26">
        <f t="shared" ref="C4:L4" si="1">MONTH(C13)</f>
        <v>3</v>
      </c>
      <c r="D4" s="26">
        <f t="shared" si="1"/>
        <v>3</v>
      </c>
      <c r="E4" s="26">
        <v>10</v>
      </c>
      <c r="F4" s="26">
        <f t="shared" si="1"/>
        <v>4</v>
      </c>
      <c r="G4" s="26">
        <f t="shared" si="1"/>
        <v>4</v>
      </c>
      <c r="H4" s="26">
        <f t="shared" si="1"/>
        <v>4</v>
      </c>
      <c r="I4" s="26">
        <f t="shared" si="1"/>
        <v>4</v>
      </c>
      <c r="J4" s="26">
        <f t="shared" si="1"/>
        <v>5</v>
      </c>
      <c r="K4" s="26">
        <f t="shared" si="1"/>
        <v>5</v>
      </c>
      <c r="L4" s="26">
        <f t="shared" si="1"/>
        <v>5</v>
      </c>
      <c r="M4" s="26">
        <f t="shared" ref="M4" si="2">MONTH(M13)</f>
        <v>5</v>
      </c>
    </row>
    <row r="5" spans="1:14" ht="15.75">
      <c r="A5" s="28" t="s">
        <v>103</v>
      </c>
      <c r="B5" s="29" t="s">
        <v>104</v>
      </c>
      <c r="C5" s="29" t="s">
        <v>105</v>
      </c>
      <c r="D5" s="29" t="s">
        <v>106</v>
      </c>
      <c r="E5" s="29" t="s">
        <v>107</v>
      </c>
      <c r="F5" s="29" t="s">
        <v>108</v>
      </c>
      <c r="G5" s="29" t="s">
        <v>109</v>
      </c>
      <c r="H5" s="29" t="s">
        <v>110</v>
      </c>
      <c r="I5" s="29" t="s">
        <v>111</v>
      </c>
      <c r="J5" s="29" t="s">
        <v>112</v>
      </c>
      <c r="K5" s="29" t="s">
        <v>113</v>
      </c>
      <c r="L5" s="29" t="s">
        <v>114</v>
      </c>
      <c r="M5" s="29" t="s">
        <v>115</v>
      </c>
    </row>
    <row r="6" spans="1:14" ht="15.75">
      <c r="A6" s="30" t="s">
        <v>92</v>
      </c>
      <c r="B6" s="31" t="s">
        <v>116</v>
      </c>
      <c r="C6" s="31" t="s">
        <v>116</v>
      </c>
      <c r="D6" s="31" t="s">
        <v>117</v>
      </c>
      <c r="E6" s="31" t="s">
        <v>117</v>
      </c>
      <c r="F6" s="31" t="s">
        <v>116</v>
      </c>
      <c r="G6" s="31" t="s">
        <v>116</v>
      </c>
      <c r="H6" s="31" t="s">
        <v>116</v>
      </c>
      <c r="I6" s="31" t="s">
        <v>117</v>
      </c>
      <c r="J6" s="31"/>
      <c r="K6" s="31"/>
      <c r="L6" s="31"/>
      <c r="M6" s="31"/>
      <c r="N6" s="32">
        <f>COUNTIF(B6:M6,"=P")/COUNTA($B$5:$M$5)</f>
        <v>0.41666666666666669</v>
      </c>
    </row>
    <row r="7" spans="1:14" ht="15.75">
      <c r="A7" s="30" t="s">
        <v>93</v>
      </c>
      <c r="B7" s="31" t="s">
        <v>116</v>
      </c>
      <c r="C7" s="31" t="s">
        <v>116</v>
      </c>
      <c r="D7" s="31" t="s">
        <v>116</v>
      </c>
      <c r="E7" s="31" t="s">
        <v>117</v>
      </c>
      <c r="F7" s="31" t="s">
        <v>116</v>
      </c>
      <c r="G7" s="31" t="s">
        <v>116</v>
      </c>
      <c r="H7" s="31" t="s">
        <v>116</v>
      </c>
      <c r="I7" s="31" t="s">
        <v>117</v>
      </c>
      <c r="J7" s="31"/>
      <c r="K7" s="31"/>
      <c r="L7" s="31"/>
      <c r="M7" s="31"/>
      <c r="N7" s="32">
        <f t="shared" ref="N7:N11" si="3">COUNTIF(B7:M7,"=P")/COUNTA($B$5:$M$5)</f>
        <v>0.5</v>
      </c>
    </row>
    <row r="8" spans="1:14" ht="15.75">
      <c r="A8" s="30" t="s">
        <v>94</v>
      </c>
      <c r="B8" s="31" t="s">
        <v>117</v>
      </c>
      <c r="C8" s="31" t="s">
        <v>116</v>
      </c>
      <c r="D8" s="31" t="s">
        <v>116</v>
      </c>
      <c r="E8" s="31" t="s">
        <v>116</v>
      </c>
      <c r="F8" s="31" t="s">
        <v>116</v>
      </c>
      <c r="G8" s="31" t="s">
        <v>117</v>
      </c>
      <c r="H8" s="31" t="s">
        <v>116</v>
      </c>
      <c r="I8" s="31" t="s">
        <v>117</v>
      </c>
      <c r="J8" s="31"/>
      <c r="K8" s="31"/>
      <c r="L8" s="31"/>
      <c r="M8" s="31"/>
      <c r="N8" s="32">
        <f t="shared" si="3"/>
        <v>0.41666666666666669</v>
      </c>
    </row>
    <row r="9" spans="1:14" ht="15.75">
      <c r="A9" s="30" t="s">
        <v>95</v>
      </c>
      <c r="B9" s="31" t="s">
        <v>116</v>
      </c>
      <c r="C9" s="31" t="s">
        <v>116</v>
      </c>
      <c r="D9" s="31" t="s">
        <v>116</v>
      </c>
      <c r="E9" s="31" t="s">
        <v>116</v>
      </c>
      <c r="F9" s="31" t="s">
        <v>116</v>
      </c>
      <c r="G9" s="31" t="s">
        <v>117</v>
      </c>
      <c r="H9" s="31" t="s">
        <v>116</v>
      </c>
      <c r="I9" s="31" t="s">
        <v>116</v>
      </c>
      <c r="J9" s="31"/>
      <c r="K9" s="31"/>
      <c r="L9" s="31"/>
      <c r="M9" s="31"/>
      <c r="N9" s="32">
        <f>COUNTIF(B9:M9,"=P")/COUNTA($B$5:$M$5)</f>
        <v>0.58333333333333337</v>
      </c>
    </row>
    <row r="10" spans="1:14" ht="15.75">
      <c r="A10" s="30" t="s">
        <v>97</v>
      </c>
      <c r="B10" s="31" t="s">
        <v>116</v>
      </c>
      <c r="C10" s="31" t="s">
        <v>116</v>
      </c>
      <c r="D10" s="31" t="s">
        <v>116</v>
      </c>
      <c r="E10" s="31" t="s">
        <v>116</v>
      </c>
      <c r="F10" s="31" t="s">
        <v>116</v>
      </c>
      <c r="G10" s="31" t="s">
        <v>116</v>
      </c>
      <c r="H10" s="31" t="s">
        <v>116</v>
      </c>
      <c r="I10" s="31" t="s">
        <v>116</v>
      </c>
      <c r="J10" s="31"/>
      <c r="K10" s="31"/>
      <c r="L10" s="31"/>
      <c r="M10" s="31"/>
      <c r="N10" s="32">
        <f t="shared" si="3"/>
        <v>0.66666666666666663</v>
      </c>
    </row>
    <row r="11" spans="1:14" ht="15.75">
      <c r="A11" s="30" t="s">
        <v>99</v>
      </c>
      <c r="B11" s="31" t="s">
        <v>116</v>
      </c>
      <c r="C11" s="31" t="s">
        <v>116</v>
      </c>
      <c r="D11" s="31" t="s">
        <v>116</v>
      </c>
      <c r="E11" s="31" t="s">
        <v>117</v>
      </c>
      <c r="F11" s="31" t="s">
        <v>116</v>
      </c>
      <c r="G11" s="31" t="s">
        <v>116</v>
      </c>
      <c r="H11" s="31" t="s">
        <v>116</v>
      </c>
      <c r="I11" s="31" t="s">
        <v>116</v>
      </c>
      <c r="J11" s="31"/>
      <c r="K11" s="31"/>
      <c r="L11" s="31"/>
      <c r="M11" s="31"/>
      <c r="N11" s="32">
        <f t="shared" si="3"/>
        <v>0.58333333333333337</v>
      </c>
    </row>
    <row r="13" spans="1:14">
      <c r="A13" t="s">
        <v>118</v>
      </c>
      <c r="B13" s="35">
        <v>46088</v>
      </c>
      <c r="C13" s="35">
        <f>+B13+7</f>
        <v>46095</v>
      </c>
      <c r="D13" s="35">
        <f t="shared" ref="D13:L13" si="4">+C13+7</f>
        <v>46102</v>
      </c>
      <c r="E13" s="35">
        <f t="shared" si="4"/>
        <v>46109</v>
      </c>
      <c r="F13" s="35">
        <f t="shared" si="4"/>
        <v>46116</v>
      </c>
      <c r="G13" s="35">
        <f t="shared" si="4"/>
        <v>46123</v>
      </c>
      <c r="H13" s="35">
        <f t="shared" si="4"/>
        <v>46130</v>
      </c>
      <c r="I13" s="35">
        <f t="shared" si="4"/>
        <v>46137</v>
      </c>
      <c r="J13" s="35">
        <f t="shared" si="4"/>
        <v>46144</v>
      </c>
      <c r="K13" s="35">
        <f t="shared" si="4"/>
        <v>46151</v>
      </c>
      <c r="L13" s="35">
        <f t="shared" si="4"/>
        <v>46158</v>
      </c>
      <c r="M13" s="35">
        <f t="shared" ref="M13" si="5">+L13+7</f>
        <v>46165</v>
      </c>
      <c r="N13" s="33"/>
    </row>
    <row r="14" spans="1:14">
      <c r="B14" t="s">
        <v>119</v>
      </c>
    </row>
    <row r="15" spans="1:14">
      <c r="B15" t="s">
        <v>120</v>
      </c>
    </row>
    <row r="17" spans="1:13">
      <c r="A17" s="27" t="s">
        <v>121</v>
      </c>
    </row>
    <row r="18" spans="1:13" ht="15.75">
      <c r="A18" t="s">
        <v>122</v>
      </c>
      <c r="B18" s="29" t="s">
        <v>104</v>
      </c>
      <c r="C18" s="29" t="s">
        <v>105</v>
      </c>
      <c r="D18" s="29" t="s">
        <v>106</v>
      </c>
      <c r="E18" s="29" t="s">
        <v>107</v>
      </c>
      <c r="F18" s="29" t="s">
        <v>108</v>
      </c>
      <c r="G18" s="29" t="s">
        <v>109</v>
      </c>
      <c r="H18" s="29" t="s">
        <v>110</v>
      </c>
      <c r="I18" s="29" t="s">
        <v>111</v>
      </c>
      <c r="J18" s="29" t="s">
        <v>112</v>
      </c>
      <c r="K18" s="29" t="s">
        <v>113</v>
      </c>
      <c r="L18" s="29" t="s">
        <v>114</v>
      </c>
      <c r="M18" s="29" t="s">
        <v>115</v>
      </c>
    </row>
    <row r="19" spans="1:13" ht="15.75">
      <c r="A19" s="30" t="s">
        <v>92</v>
      </c>
      <c r="B19" s="31" t="s">
        <v>123</v>
      </c>
      <c r="C19" s="31" t="s">
        <v>123</v>
      </c>
      <c r="D19" s="31" t="s">
        <v>124</v>
      </c>
      <c r="E19" s="31" t="s">
        <v>124</v>
      </c>
      <c r="F19" s="31" t="s">
        <v>124</v>
      </c>
      <c r="G19" s="34" t="s">
        <v>125</v>
      </c>
      <c r="H19" s="34" t="s">
        <v>124</v>
      </c>
      <c r="I19" s="34" t="s">
        <v>124</v>
      </c>
      <c r="J19" s="34"/>
      <c r="K19" s="31"/>
      <c r="L19" s="34"/>
      <c r="M19" s="34"/>
    </row>
    <row r="20" spans="1:13" ht="15.75">
      <c r="A20" s="30" t="s">
        <v>93</v>
      </c>
      <c r="B20" s="31" t="s">
        <v>123</v>
      </c>
      <c r="C20" s="31" t="s">
        <v>123</v>
      </c>
      <c r="D20" s="31" t="s">
        <v>124</v>
      </c>
      <c r="E20" s="31" t="s">
        <v>124</v>
      </c>
      <c r="F20" s="31" t="s">
        <v>124</v>
      </c>
      <c r="G20" s="34" t="s">
        <v>125</v>
      </c>
      <c r="H20" s="34" t="s">
        <v>124</v>
      </c>
      <c r="I20" s="34" t="s">
        <v>124</v>
      </c>
      <c r="J20" s="34"/>
      <c r="K20" s="31"/>
      <c r="L20" s="34"/>
      <c r="M20" s="34"/>
    </row>
    <row r="21" spans="1:13" ht="15.75">
      <c r="A21" s="30" t="s">
        <v>94</v>
      </c>
      <c r="B21" s="31" t="s">
        <v>126</v>
      </c>
      <c r="C21" s="31" t="s">
        <v>126</v>
      </c>
      <c r="D21" s="31" t="s">
        <v>126</v>
      </c>
      <c r="E21" s="31" t="s">
        <v>126</v>
      </c>
      <c r="F21" s="31" t="s">
        <v>126</v>
      </c>
      <c r="G21" s="34" t="s">
        <v>125</v>
      </c>
      <c r="H21" s="34" t="s">
        <v>126</v>
      </c>
      <c r="I21" s="34" t="s">
        <v>124</v>
      </c>
      <c r="J21" s="34"/>
      <c r="K21" s="31"/>
      <c r="L21" s="34"/>
      <c r="M21" s="34"/>
    </row>
    <row r="22" spans="1:13" ht="15.75">
      <c r="A22" s="30" t="s">
        <v>95</v>
      </c>
      <c r="B22" s="31" t="s">
        <v>126</v>
      </c>
      <c r="C22" s="31" t="s">
        <v>126</v>
      </c>
      <c r="D22" s="31" t="s">
        <v>126</v>
      </c>
      <c r="E22" s="31" t="s">
        <v>126</v>
      </c>
      <c r="F22" s="31" t="s">
        <v>126</v>
      </c>
      <c r="G22" s="34" t="s">
        <v>125</v>
      </c>
      <c r="H22" s="34" t="s">
        <v>126</v>
      </c>
      <c r="I22" s="34" t="s">
        <v>126</v>
      </c>
      <c r="J22" s="34"/>
      <c r="K22" s="31"/>
      <c r="L22" s="34"/>
      <c r="M22" s="34"/>
    </row>
    <row r="23" spans="1:13" ht="15.75">
      <c r="A23" s="30" t="s">
        <v>97</v>
      </c>
      <c r="B23" s="31" t="s">
        <v>126</v>
      </c>
      <c r="C23" s="31" t="s">
        <v>126</v>
      </c>
      <c r="D23" s="31" t="s">
        <v>126</v>
      </c>
      <c r="E23" s="31" t="s">
        <v>126</v>
      </c>
      <c r="F23" s="31" t="s">
        <v>126</v>
      </c>
      <c r="G23" s="34" t="s">
        <v>125</v>
      </c>
      <c r="H23" s="34" t="s">
        <v>126</v>
      </c>
      <c r="I23" s="34" t="s">
        <v>126</v>
      </c>
      <c r="J23" s="34"/>
      <c r="K23" s="31"/>
      <c r="L23" s="34"/>
      <c r="M23" s="34"/>
    </row>
    <row r="24" spans="1:13" ht="15.75">
      <c r="A24" s="30" t="s">
        <v>99</v>
      </c>
      <c r="B24" s="31" t="s">
        <v>126</v>
      </c>
      <c r="C24" s="31" t="s">
        <v>126</v>
      </c>
      <c r="D24" s="31" t="s">
        <v>126</v>
      </c>
      <c r="E24" s="31" t="s">
        <v>126</v>
      </c>
      <c r="F24" s="31" t="s">
        <v>123</v>
      </c>
      <c r="G24" s="34" t="s">
        <v>125</v>
      </c>
      <c r="H24" s="34" t="s">
        <v>126</v>
      </c>
      <c r="I24" s="34" t="s">
        <v>123</v>
      </c>
      <c r="J24" s="34"/>
      <c r="K24" s="31"/>
      <c r="L24" s="34"/>
      <c r="M24" s="34"/>
    </row>
    <row r="26" spans="1:13">
      <c r="A26" s="27" t="s">
        <v>127</v>
      </c>
    </row>
    <row r="27" spans="1:13" ht="15.75">
      <c r="A27" t="s">
        <v>122</v>
      </c>
      <c r="B27" s="29" t="s">
        <v>104</v>
      </c>
      <c r="C27" s="29" t="s">
        <v>105</v>
      </c>
      <c r="D27" s="29" t="s">
        <v>106</v>
      </c>
      <c r="E27" s="29" t="s">
        <v>107</v>
      </c>
      <c r="F27" s="29" t="s">
        <v>108</v>
      </c>
      <c r="G27" s="29" t="s">
        <v>109</v>
      </c>
      <c r="H27" s="29" t="s">
        <v>110</v>
      </c>
      <c r="I27" s="29" t="s">
        <v>111</v>
      </c>
      <c r="J27" s="29" t="s">
        <v>112</v>
      </c>
      <c r="K27" s="29" t="s">
        <v>113</v>
      </c>
      <c r="L27" s="29" t="s">
        <v>114</v>
      </c>
      <c r="M27" s="29" t="s">
        <v>115</v>
      </c>
    </row>
    <row r="28" spans="1:13" ht="15.75">
      <c r="A28" s="30" t="s">
        <v>92</v>
      </c>
      <c r="B28" s="31" t="s">
        <v>123</v>
      </c>
      <c r="C28" s="31" t="s">
        <v>124</v>
      </c>
      <c r="D28" s="31" t="s">
        <v>124</v>
      </c>
      <c r="E28" s="31" t="s">
        <v>124</v>
      </c>
      <c r="F28" s="31" t="s">
        <v>124</v>
      </c>
      <c r="G28" s="34" t="s">
        <v>125</v>
      </c>
      <c r="H28" s="31" t="s">
        <v>124</v>
      </c>
      <c r="I28" s="34" t="s">
        <v>124</v>
      </c>
      <c r="J28" s="31"/>
      <c r="K28" s="34"/>
      <c r="L28" s="34"/>
      <c r="M28" s="34"/>
    </row>
    <row r="29" spans="1:13" ht="15.75">
      <c r="A29" s="30" t="s">
        <v>93</v>
      </c>
      <c r="B29" s="31" t="s">
        <v>123</v>
      </c>
      <c r="C29" s="31" t="s">
        <v>126</v>
      </c>
      <c r="D29" s="31" t="s">
        <v>126</v>
      </c>
      <c r="E29" s="31" t="s">
        <v>126</v>
      </c>
      <c r="F29" s="31" t="s">
        <v>123</v>
      </c>
      <c r="G29" s="34" t="s">
        <v>125</v>
      </c>
      <c r="H29" s="31" t="s">
        <v>124</v>
      </c>
      <c r="I29" s="34" t="s">
        <v>124</v>
      </c>
      <c r="J29" s="31"/>
      <c r="K29" s="34"/>
      <c r="L29" s="34"/>
      <c r="M29" s="34"/>
    </row>
    <row r="30" spans="1:13" ht="15.75">
      <c r="A30" s="30" t="s">
        <v>94</v>
      </c>
      <c r="B30" s="31" t="s">
        <v>126</v>
      </c>
      <c r="C30" s="31" t="s">
        <v>126</v>
      </c>
      <c r="D30" s="31" t="s">
        <v>126</v>
      </c>
      <c r="E30" s="31" t="s">
        <v>126</v>
      </c>
      <c r="F30" s="31" t="s">
        <v>126</v>
      </c>
      <c r="G30" s="34" t="s">
        <v>125</v>
      </c>
      <c r="H30" s="31" t="s">
        <v>123</v>
      </c>
      <c r="I30" s="34" t="s">
        <v>124</v>
      </c>
      <c r="J30" s="31"/>
      <c r="K30" s="34"/>
      <c r="L30" s="34"/>
      <c r="M30" s="34"/>
    </row>
    <row r="31" spans="1:13" ht="15.75">
      <c r="A31" s="30" t="s">
        <v>95</v>
      </c>
      <c r="B31" s="31" t="s">
        <v>126</v>
      </c>
      <c r="C31" s="31" t="s">
        <v>126</v>
      </c>
      <c r="D31" s="31" t="s">
        <v>126</v>
      </c>
      <c r="E31" s="31" t="s">
        <v>126</v>
      </c>
      <c r="F31" s="31" t="s">
        <v>126</v>
      </c>
      <c r="G31" s="34" t="s">
        <v>125</v>
      </c>
      <c r="H31" s="31" t="s">
        <v>126</v>
      </c>
      <c r="I31" s="34" t="s">
        <v>126</v>
      </c>
      <c r="J31" s="31"/>
      <c r="K31" s="34"/>
      <c r="L31" s="34"/>
      <c r="M31" s="34"/>
    </row>
    <row r="32" spans="1:13" ht="15.75">
      <c r="A32" s="30" t="s">
        <v>97</v>
      </c>
      <c r="B32" s="31" t="s">
        <v>126</v>
      </c>
      <c r="C32" s="31" t="s">
        <v>126</v>
      </c>
      <c r="D32" s="31" t="s">
        <v>126</v>
      </c>
      <c r="E32" s="31" t="s">
        <v>126</v>
      </c>
      <c r="F32" s="31" t="s">
        <v>126</v>
      </c>
      <c r="G32" s="34" t="s">
        <v>125</v>
      </c>
      <c r="H32" s="31" t="s">
        <v>126</v>
      </c>
      <c r="I32" s="34" t="s">
        <v>126</v>
      </c>
      <c r="J32" s="31"/>
      <c r="K32" s="34"/>
      <c r="L32" s="34"/>
      <c r="M32" s="34"/>
    </row>
    <row r="33" spans="1:13" ht="15.75">
      <c r="A33" s="30" t="s">
        <v>99</v>
      </c>
      <c r="B33" s="31" t="s">
        <v>126</v>
      </c>
      <c r="C33" s="31" t="s">
        <v>126</v>
      </c>
      <c r="D33" s="31" t="s">
        <v>126</v>
      </c>
      <c r="E33" s="31" t="s">
        <v>123</v>
      </c>
      <c r="F33" s="31" t="s">
        <v>123</v>
      </c>
      <c r="G33" s="34" t="s">
        <v>125</v>
      </c>
      <c r="H33" s="31" t="s">
        <v>126</v>
      </c>
      <c r="I33" s="34" t="s">
        <v>123</v>
      </c>
      <c r="J33" s="31"/>
      <c r="K33" s="34"/>
      <c r="L33" s="34"/>
      <c r="M33" s="34"/>
    </row>
    <row r="34" spans="1:13">
      <c r="A34" t="s">
        <v>128</v>
      </c>
    </row>
    <row r="35" spans="1:13">
      <c r="A35" t="s">
        <v>129</v>
      </c>
    </row>
    <row r="36" spans="1:13">
      <c r="A36" t="s">
        <v>130</v>
      </c>
    </row>
    <row r="37" spans="1:13">
      <c r="A37" t="s">
        <v>131</v>
      </c>
    </row>
    <row r="40" spans="1:13">
      <c r="A40" s="27" t="s">
        <v>132</v>
      </c>
      <c r="B40" s="35"/>
      <c r="D40" s="35"/>
    </row>
    <row r="41" spans="1:13" ht="15.75">
      <c r="A41" t="s">
        <v>122</v>
      </c>
      <c r="B41" s="58" t="s">
        <v>133</v>
      </c>
      <c r="C41" s="58" t="s">
        <v>134</v>
      </c>
      <c r="D41" s="58" t="s">
        <v>86</v>
      </c>
      <c r="E41" s="36" t="s">
        <v>87</v>
      </c>
      <c r="F41" s="29" t="s">
        <v>88</v>
      </c>
      <c r="G41" s="29" t="s">
        <v>89</v>
      </c>
      <c r="H41" s="29" t="s">
        <v>135</v>
      </c>
      <c r="I41" s="29" t="s">
        <v>135</v>
      </c>
    </row>
    <row r="42" spans="1:13" ht="15.75">
      <c r="A42" s="30" t="s">
        <v>92</v>
      </c>
      <c r="B42" s="31" t="s">
        <v>136</v>
      </c>
      <c r="C42" s="31" t="s">
        <v>124</v>
      </c>
      <c r="D42" s="31" t="s">
        <v>137</v>
      </c>
      <c r="E42" s="31"/>
      <c r="F42" s="31"/>
      <c r="G42" s="31"/>
      <c r="H42" s="34" t="s">
        <v>136</v>
      </c>
      <c r="I42" s="34"/>
    </row>
    <row r="43" spans="1:13" ht="15.75">
      <c r="A43" s="30" t="s">
        <v>93</v>
      </c>
      <c r="B43" s="31" t="s">
        <v>136</v>
      </c>
      <c r="C43" s="31" t="s">
        <v>136</v>
      </c>
      <c r="D43" s="31" t="s">
        <v>137</v>
      </c>
      <c r="E43" s="31"/>
      <c r="F43" s="31"/>
      <c r="G43" s="31"/>
      <c r="H43" s="34" t="s">
        <v>136</v>
      </c>
      <c r="I43" s="34"/>
    </row>
    <row r="44" spans="1:13" ht="15.75">
      <c r="A44" s="30" t="s">
        <v>94</v>
      </c>
      <c r="B44" s="31" t="s">
        <v>136</v>
      </c>
      <c r="C44" s="31" t="s">
        <v>136</v>
      </c>
      <c r="D44" s="31" t="s">
        <v>136</v>
      </c>
      <c r="E44" s="31"/>
      <c r="F44" s="31"/>
      <c r="G44" s="31"/>
      <c r="H44" s="34" t="s">
        <v>136</v>
      </c>
      <c r="I44" s="34"/>
    </row>
    <row r="45" spans="1:13" ht="15.75">
      <c r="A45" s="30" t="s">
        <v>95</v>
      </c>
      <c r="B45" s="31" t="s">
        <v>136</v>
      </c>
      <c r="C45" s="31" t="s">
        <v>136</v>
      </c>
      <c r="D45" s="31" t="s">
        <v>136</v>
      </c>
      <c r="E45" s="31"/>
      <c r="F45" s="31"/>
      <c r="G45" s="31"/>
      <c r="H45" s="34" t="s">
        <v>136</v>
      </c>
      <c r="I45" s="34"/>
    </row>
    <row r="46" spans="1:13" ht="15.75">
      <c r="A46" s="30" t="s">
        <v>97</v>
      </c>
      <c r="B46" s="31" t="s">
        <v>136</v>
      </c>
      <c r="C46" s="31" t="s">
        <v>136</v>
      </c>
      <c r="D46" s="31" t="s">
        <v>136</v>
      </c>
      <c r="E46" s="31"/>
      <c r="F46" s="31"/>
      <c r="G46" s="31"/>
      <c r="H46" s="34" t="s">
        <v>136</v>
      </c>
      <c r="I46" s="34"/>
    </row>
    <row r="47" spans="1:13" ht="15.75">
      <c r="A47" s="30" t="s">
        <v>99</v>
      </c>
      <c r="B47" s="31" t="s">
        <v>136</v>
      </c>
      <c r="C47" s="31" t="s">
        <v>136</v>
      </c>
      <c r="D47" s="31" t="s">
        <v>136</v>
      </c>
      <c r="E47" s="31"/>
      <c r="F47" s="31"/>
      <c r="G47" s="31"/>
      <c r="H47" s="34" t="s">
        <v>136</v>
      </c>
      <c r="I47" s="34"/>
    </row>
    <row r="48" spans="1:13">
      <c r="A48" t="s">
        <v>138</v>
      </c>
    </row>
    <row r="49" spans="1:17">
      <c r="A49" t="s">
        <v>139</v>
      </c>
    </row>
    <row r="50" spans="1:17">
      <c r="A50" t="s">
        <v>140</v>
      </c>
    </row>
    <row r="53" spans="1:17">
      <c r="A53" s="27" t="s">
        <v>141</v>
      </c>
    </row>
    <row r="54" spans="1:17">
      <c r="A54" t="s">
        <v>142</v>
      </c>
    </row>
    <row r="55" spans="1:17">
      <c r="A55" t="s">
        <v>143</v>
      </c>
    </row>
    <row r="56" spans="1:17">
      <c r="A56" t="s">
        <v>144</v>
      </c>
    </row>
    <row r="57" spans="1:17">
      <c r="A57" t="s">
        <v>145</v>
      </c>
    </row>
    <row r="58" spans="1:17">
      <c r="A58" t="s">
        <v>146</v>
      </c>
    </row>
    <row r="60" spans="1:17" ht="30.75">
      <c r="A60" s="27" t="s">
        <v>147</v>
      </c>
      <c r="B60" s="35"/>
      <c r="D60" s="35"/>
      <c r="K60" s="29" t="s">
        <v>148</v>
      </c>
      <c r="L60" s="29" t="s">
        <v>149</v>
      </c>
      <c r="M60" s="29"/>
      <c r="N60" s="29" t="s">
        <v>148</v>
      </c>
    </row>
    <row r="61" spans="1:17" ht="15.75">
      <c r="A61" t="s">
        <v>122</v>
      </c>
      <c r="B61" s="58" t="s">
        <v>133</v>
      </c>
      <c r="C61" s="58" t="s">
        <v>134</v>
      </c>
      <c r="D61" s="58" t="s">
        <v>86</v>
      </c>
      <c r="E61" s="36" t="s">
        <v>87</v>
      </c>
      <c r="F61" s="29" t="s">
        <v>88</v>
      </c>
      <c r="G61" s="29" t="s">
        <v>89</v>
      </c>
      <c r="H61" s="58" t="s">
        <v>135</v>
      </c>
      <c r="I61" s="29" t="s">
        <v>150</v>
      </c>
      <c r="K61" s="29" t="s">
        <v>151</v>
      </c>
      <c r="L61" s="29" t="s">
        <v>152</v>
      </c>
      <c r="M61" s="29"/>
      <c r="N61" s="29" t="s">
        <v>153</v>
      </c>
      <c r="P61" s="26"/>
      <c r="Q61" s="26"/>
    </row>
    <row r="62" spans="1:17" ht="15.75">
      <c r="A62" s="56" t="s">
        <v>92</v>
      </c>
      <c r="B62" s="37">
        <v>6</v>
      </c>
      <c r="C62" s="37">
        <v>1</v>
      </c>
      <c r="D62" s="37">
        <v>1</v>
      </c>
      <c r="E62" s="57"/>
      <c r="F62" s="37"/>
      <c r="G62" s="59"/>
      <c r="H62" s="37">
        <v>5.8</v>
      </c>
      <c r="I62" s="57"/>
      <c r="K62" s="37">
        <f>AVERAGE(B62:G62)</f>
        <v>2.6666666666666665</v>
      </c>
      <c r="L62" s="37">
        <f>AVERAGE(H62:I62)</f>
        <v>5.8</v>
      </c>
      <c r="M62" s="37"/>
      <c r="N62" s="37">
        <f>+K62*0.3+L62*0.7</f>
        <v>4.8599999999999994</v>
      </c>
      <c r="P62" s="38"/>
      <c r="Q62" s="38"/>
    </row>
    <row r="63" spans="1:17" ht="15.75">
      <c r="A63" s="56" t="s">
        <v>93</v>
      </c>
      <c r="B63" s="37">
        <v>6</v>
      </c>
      <c r="C63" s="37">
        <v>1</v>
      </c>
      <c r="D63" s="37">
        <v>1</v>
      </c>
      <c r="E63" s="57"/>
      <c r="F63" s="37"/>
      <c r="G63" s="59"/>
      <c r="H63" s="37">
        <v>5.8</v>
      </c>
      <c r="I63" s="57"/>
      <c r="K63" s="37">
        <f t="shared" ref="K63:K67" si="6">AVERAGE(B63:G63)</f>
        <v>2.6666666666666665</v>
      </c>
      <c r="L63" s="37">
        <f t="shared" ref="L63:L67" si="7">AVERAGE(H63:I63)</f>
        <v>5.8</v>
      </c>
      <c r="M63" s="37"/>
      <c r="N63" s="37">
        <f t="shared" ref="N63:N67" si="8">+K63*0.3+L63*0.7</f>
        <v>4.8599999999999994</v>
      </c>
      <c r="P63" s="38"/>
      <c r="Q63" s="38"/>
    </row>
    <row r="64" spans="1:17" ht="15.75">
      <c r="A64" s="56" t="s">
        <v>94</v>
      </c>
      <c r="B64" s="37">
        <v>6.1</v>
      </c>
      <c r="C64" s="37">
        <v>4.5</v>
      </c>
      <c r="D64" s="37">
        <v>3</v>
      </c>
      <c r="E64" s="57"/>
      <c r="F64" s="37"/>
      <c r="G64" s="59"/>
      <c r="H64" s="37">
        <v>6.4</v>
      </c>
      <c r="I64" s="57"/>
      <c r="K64" s="37">
        <f t="shared" si="6"/>
        <v>4.5333333333333332</v>
      </c>
      <c r="L64" s="37">
        <f t="shared" si="7"/>
        <v>6.4</v>
      </c>
      <c r="M64" s="37"/>
      <c r="N64" s="37">
        <f t="shared" si="8"/>
        <v>5.84</v>
      </c>
      <c r="P64" s="38"/>
      <c r="Q64" s="38"/>
    </row>
    <row r="65" spans="1:17" ht="15.75">
      <c r="A65" s="56" t="s">
        <v>95</v>
      </c>
      <c r="B65" s="37">
        <v>6.1</v>
      </c>
      <c r="C65" s="37">
        <v>4.5</v>
      </c>
      <c r="D65" s="37">
        <v>3</v>
      </c>
      <c r="E65" s="57"/>
      <c r="F65" s="37"/>
      <c r="G65" s="59"/>
      <c r="H65" s="37">
        <v>6.4</v>
      </c>
      <c r="I65" s="57"/>
      <c r="K65" s="37">
        <f t="shared" si="6"/>
        <v>4.5333333333333332</v>
      </c>
      <c r="L65" s="37">
        <f t="shared" si="7"/>
        <v>6.4</v>
      </c>
      <c r="M65" s="37"/>
      <c r="N65" s="37">
        <f t="shared" si="8"/>
        <v>5.84</v>
      </c>
      <c r="P65" s="38"/>
      <c r="Q65" s="38"/>
    </row>
    <row r="66" spans="1:17" ht="15.75">
      <c r="A66" s="56" t="s">
        <v>97</v>
      </c>
      <c r="B66" s="37">
        <v>6.3</v>
      </c>
      <c r="C66" s="37">
        <v>7</v>
      </c>
      <c r="D66" s="37">
        <v>7</v>
      </c>
      <c r="E66" s="57"/>
      <c r="F66" s="37"/>
      <c r="G66" s="59"/>
      <c r="H66" s="37">
        <v>6.4</v>
      </c>
      <c r="I66" s="57"/>
      <c r="K66" s="37">
        <f t="shared" si="6"/>
        <v>6.7666666666666666</v>
      </c>
      <c r="L66" s="37">
        <f t="shared" si="7"/>
        <v>6.4</v>
      </c>
      <c r="M66" s="37"/>
      <c r="N66" s="37">
        <f t="shared" si="8"/>
        <v>6.51</v>
      </c>
      <c r="P66" s="38"/>
      <c r="Q66" s="38"/>
    </row>
    <row r="67" spans="1:17" ht="15.75">
      <c r="A67" s="56" t="s">
        <v>99</v>
      </c>
      <c r="B67" s="37">
        <v>6.3</v>
      </c>
      <c r="C67" s="37">
        <v>7</v>
      </c>
      <c r="D67" s="37">
        <v>7</v>
      </c>
      <c r="E67" s="57"/>
      <c r="F67" s="37"/>
      <c r="G67" s="59"/>
      <c r="H67" s="37">
        <v>6.4</v>
      </c>
      <c r="I67" s="57"/>
      <c r="K67" s="37">
        <f t="shared" si="6"/>
        <v>6.7666666666666666</v>
      </c>
      <c r="L67" s="37">
        <f t="shared" si="7"/>
        <v>6.4</v>
      </c>
      <c r="M67" s="37"/>
      <c r="N67" s="37">
        <f t="shared" si="8"/>
        <v>6.51</v>
      </c>
      <c r="P67" s="38"/>
      <c r="Q67" s="38"/>
    </row>
  </sheetData>
  <mergeCells count="1">
    <mergeCell ref="B1:F1"/>
  </mergeCells>
  <conditionalFormatting sqref="B6:M11">
    <cfRule type="cellIs" dxfId="49" priority="83" operator="equal">
      <formula>"A"</formula>
    </cfRule>
  </conditionalFormatting>
  <conditionalFormatting sqref="B19:B24 D19:F24 H19:J24 L19:M24">
    <cfRule type="cellIs" dxfId="48" priority="82" operator="equal">
      <formula>"SA"</formula>
    </cfRule>
  </conditionalFormatting>
  <conditionalFormatting sqref="B19:B24 D19:F24 H19:J24 L19:M24">
    <cfRule type="cellIs" dxfId="47" priority="81" operator="equal">
      <formula>"NA"</formula>
    </cfRule>
  </conditionalFormatting>
  <conditionalFormatting sqref="B19:B24 D19:F24 H19:J24 L19:M24">
    <cfRule type="cellIs" dxfId="46" priority="80" operator="equal">
      <formula>"MC"</formula>
    </cfRule>
  </conditionalFormatting>
  <conditionalFormatting sqref="B28:B33 D28:G33 I28:I33 K28:M33">
    <cfRule type="cellIs" dxfId="45" priority="79" operator="equal">
      <formula>"SA"</formula>
    </cfRule>
  </conditionalFormatting>
  <conditionalFormatting sqref="B28:B33 D28:G33 I28:I33 K28:M33">
    <cfRule type="cellIs" dxfId="44" priority="78" operator="equal">
      <formula>"NA"</formula>
    </cfRule>
  </conditionalFormatting>
  <conditionalFormatting sqref="B28:B33 D28:G33 I28:I33 K28:M33">
    <cfRule type="cellIs" dxfId="43" priority="77" operator="equal">
      <formula>"MC"</formula>
    </cfRule>
  </conditionalFormatting>
  <conditionalFormatting sqref="B42:G47">
    <cfRule type="cellIs" dxfId="42" priority="76" operator="equal">
      <formula>"SE"</formula>
    </cfRule>
  </conditionalFormatting>
  <conditionalFormatting sqref="B42:G47">
    <cfRule type="cellIs" dxfId="41" priority="75" operator="equal">
      <formula>"E"</formula>
    </cfRule>
  </conditionalFormatting>
  <conditionalFormatting sqref="H42:H47">
    <cfRule type="cellIs" dxfId="40" priority="74" operator="equal">
      <formula>"SI"</formula>
    </cfRule>
  </conditionalFormatting>
  <conditionalFormatting sqref="H42:H47">
    <cfRule type="cellIs" dxfId="39" priority="73" operator="equal">
      <formula>"E"</formula>
    </cfRule>
  </conditionalFormatting>
  <conditionalFormatting sqref="G42:G43">
    <cfRule type="cellIs" dxfId="38" priority="70" operator="equal">
      <formula>"SI"</formula>
    </cfRule>
  </conditionalFormatting>
  <conditionalFormatting sqref="G42:G43">
    <cfRule type="cellIs" dxfId="37" priority="69" operator="equal">
      <formula>"E"</formula>
    </cfRule>
  </conditionalFormatting>
  <conditionalFormatting sqref="B42:B43 B44:G47">
    <cfRule type="cellIs" dxfId="36" priority="68" operator="equal">
      <formula>"SA"</formula>
    </cfRule>
  </conditionalFormatting>
  <conditionalFormatting sqref="B42:B43 B44:G47">
    <cfRule type="cellIs" dxfId="35" priority="67" operator="equal">
      <formula>"NA"</formula>
    </cfRule>
  </conditionalFormatting>
  <conditionalFormatting sqref="B42:B43 B44:G47">
    <cfRule type="cellIs" dxfId="34" priority="66" operator="equal">
      <formula>"MC"</formula>
    </cfRule>
  </conditionalFormatting>
  <conditionalFormatting sqref="C42:C43">
    <cfRule type="cellIs" dxfId="33" priority="65" operator="equal">
      <formula>"SA"</formula>
    </cfRule>
  </conditionalFormatting>
  <conditionalFormatting sqref="C42:C43">
    <cfRule type="cellIs" dxfId="32" priority="64" operator="equal">
      <formula>"NA"</formula>
    </cfRule>
  </conditionalFormatting>
  <conditionalFormatting sqref="C42:C43">
    <cfRule type="cellIs" dxfId="31" priority="63" operator="equal">
      <formula>"MC"</formula>
    </cfRule>
  </conditionalFormatting>
  <conditionalFormatting sqref="C28:C33">
    <cfRule type="cellIs" dxfId="30" priority="56" operator="equal">
      <formula>"SA"</formula>
    </cfRule>
  </conditionalFormatting>
  <conditionalFormatting sqref="C28:C33">
    <cfRule type="cellIs" dxfId="29" priority="55" operator="equal">
      <formula>"NA"</formula>
    </cfRule>
  </conditionalFormatting>
  <conditionalFormatting sqref="C28:C33">
    <cfRule type="cellIs" dxfId="28" priority="54" operator="equal">
      <formula>"MC"</formula>
    </cfRule>
  </conditionalFormatting>
  <conditionalFormatting sqref="C19:C24">
    <cfRule type="cellIs" dxfId="27" priority="53" operator="equal">
      <formula>"SA"</formula>
    </cfRule>
  </conditionalFormatting>
  <conditionalFormatting sqref="C19:C24">
    <cfRule type="cellIs" dxfId="26" priority="52" operator="equal">
      <formula>"NA"</formula>
    </cfRule>
  </conditionalFormatting>
  <conditionalFormatting sqref="C19:C24">
    <cfRule type="cellIs" dxfId="25" priority="51" operator="equal">
      <formula>"MC"</formula>
    </cfRule>
  </conditionalFormatting>
  <conditionalFormatting sqref="G19:G24">
    <cfRule type="cellIs" dxfId="24" priority="50" operator="equal">
      <formula>"SA"</formula>
    </cfRule>
  </conditionalFormatting>
  <conditionalFormatting sqref="G19:G24">
    <cfRule type="cellIs" dxfId="23" priority="49" operator="equal">
      <formula>"NA"</formula>
    </cfRule>
  </conditionalFormatting>
  <conditionalFormatting sqref="G19:G24">
    <cfRule type="cellIs" dxfId="22" priority="48" operator="equal">
      <formula>"MC"</formula>
    </cfRule>
  </conditionalFormatting>
  <conditionalFormatting sqref="H28:H33">
    <cfRule type="cellIs" dxfId="21" priority="47" operator="equal">
      <formula>"SA"</formula>
    </cfRule>
  </conditionalFormatting>
  <conditionalFormatting sqref="H28:H33">
    <cfRule type="cellIs" dxfId="20" priority="46" operator="equal">
      <formula>"NA"</formula>
    </cfRule>
  </conditionalFormatting>
  <conditionalFormatting sqref="H28:H33">
    <cfRule type="cellIs" dxfId="19" priority="45" operator="equal">
      <formula>"MC"</formula>
    </cfRule>
  </conditionalFormatting>
  <conditionalFormatting sqref="K19:K24">
    <cfRule type="cellIs" dxfId="18" priority="44" operator="equal">
      <formula>"SA"</formula>
    </cfRule>
  </conditionalFormatting>
  <conditionalFormatting sqref="K19:K24">
    <cfRule type="cellIs" dxfId="17" priority="43" operator="equal">
      <formula>"NA"</formula>
    </cfRule>
  </conditionalFormatting>
  <conditionalFormatting sqref="K19:K24">
    <cfRule type="cellIs" dxfId="16" priority="42" operator="equal">
      <formula>"MC"</formula>
    </cfRule>
  </conditionalFormatting>
  <conditionalFormatting sqref="J28:J33">
    <cfRule type="cellIs" dxfId="15" priority="41" operator="equal">
      <formula>"SA"</formula>
    </cfRule>
  </conditionalFormatting>
  <conditionalFormatting sqref="J28:J33">
    <cfRule type="cellIs" dxfId="14" priority="40" operator="equal">
      <formula>"NA"</formula>
    </cfRule>
  </conditionalFormatting>
  <conditionalFormatting sqref="J28:J33">
    <cfRule type="cellIs" dxfId="13" priority="39" operator="equal">
      <formula>"MC"</formula>
    </cfRule>
  </conditionalFormatting>
  <conditionalFormatting sqref="F42:F43">
    <cfRule type="cellIs" dxfId="12" priority="38" operator="equal">
      <formula>"SE"</formula>
    </cfRule>
  </conditionalFormatting>
  <conditionalFormatting sqref="F42:F43">
    <cfRule type="cellIs" dxfId="11" priority="37" operator="equal">
      <formula>"E"</formula>
    </cfRule>
  </conditionalFormatting>
  <conditionalFormatting sqref="B62:I67">
    <cfRule type="cellIs" dxfId="10" priority="14" operator="lessThan">
      <formula>3.95</formula>
    </cfRule>
  </conditionalFormatting>
  <conditionalFormatting sqref="B62:I67">
    <cfRule type="cellIs" dxfId="9" priority="13" operator="greaterThan">
      <formula>3.95</formula>
    </cfRule>
  </conditionalFormatting>
  <conditionalFormatting sqref="B62:I67">
    <cfRule type="containsText" dxfId="8" priority="12" operator="containsText" text="NA">
      <formula>NOT(ISERROR(SEARCH("NA",B62)))</formula>
    </cfRule>
  </conditionalFormatting>
  <conditionalFormatting sqref="K62:M67">
    <cfRule type="cellIs" dxfId="7" priority="11" operator="lessThan">
      <formula>3.95</formula>
    </cfRule>
  </conditionalFormatting>
  <conditionalFormatting sqref="K62:M67">
    <cfRule type="cellIs" dxfId="6" priority="10" operator="greaterThan">
      <formula>3.95</formula>
    </cfRule>
  </conditionalFormatting>
  <conditionalFormatting sqref="K62:M67">
    <cfRule type="containsText" dxfId="5" priority="9" operator="containsText" text="NA">
      <formula>NOT(ISERROR(SEARCH("NA",K62)))</formula>
    </cfRule>
  </conditionalFormatting>
  <conditionalFormatting sqref="N62:N67">
    <cfRule type="cellIs" dxfId="4" priority="8" operator="lessThan">
      <formula>3.95</formula>
    </cfRule>
  </conditionalFormatting>
  <conditionalFormatting sqref="N62:N67">
    <cfRule type="cellIs" dxfId="3" priority="7" operator="greaterThan">
      <formula>3.95</formula>
    </cfRule>
  </conditionalFormatting>
  <conditionalFormatting sqref="N62:N67">
    <cfRule type="containsText" dxfId="2" priority="6" operator="containsText" text="NA">
      <formula>NOT(ISERROR(SEARCH("NA",N62)))</formula>
    </cfRule>
  </conditionalFormatting>
  <conditionalFormatting sqref="I42:I47">
    <cfRule type="cellIs" dxfId="1" priority="2" operator="equal">
      <formula>"SI"</formula>
    </cfRule>
  </conditionalFormatting>
  <conditionalFormatting sqref="I42:I47">
    <cfRule type="cellIs" dxfId="0" priority="1" operator="equal">
      <formula>"E"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BAB0-57D7-4A07-B1B3-86CB78E15540}">
  <dimension ref="L4:M7"/>
  <sheetViews>
    <sheetView topLeftCell="A51" workbookViewId="0">
      <selection activeCell="D53" sqref="D53"/>
    </sheetView>
  </sheetViews>
  <sheetFormatPr defaultRowHeight="15"/>
  <sheetData>
    <row r="4" spans="12:13">
      <c r="L4">
        <v>0</v>
      </c>
      <c r="M4">
        <v>1</v>
      </c>
    </row>
    <row r="5" spans="12:13">
      <c r="L5">
        <v>60</v>
      </c>
      <c r="M5">
        <v>4</v>
      </c>
    </row>
    <row r="6" spans="12:13">
      <c r="L6">
        <v>90</v>
      </c>
      <c r="M6">
        <v>7</v>
      </c>
    </row>
    <row r="7" spans="12:13">
      <c r="L7">
        <v>100</v>
      </c>
      <c r="M7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2025-10-31T01:44:05Z</dcterms:created>
  <dcterms:modified xsi:type="dcterms:W3CDTF">2026-05-01T22:05:19Z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2025-10-31T01:44:10Z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50e149fe-d1b2-4f68-80de-a94615882e56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10, 3, 0, 2</vt:lpwstr>
  </property>
</Properties>
</file>